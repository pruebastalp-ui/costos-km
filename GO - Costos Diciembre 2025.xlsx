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stos y energias alternativas\"/>
    </mc:Choice>
  </mc:AlternateContent>
  <xr:revisionPtr revIDLastSave="0" documentId="13_ncr:1_{DC452113-228D-45F4-A6E3-A90E26A25F05}" xr6:coauthVersionLast="47" xr6:coauthVersionMax="47" xr10:uidLastSave="{00000000-0000-0000-0000-000000000000}"/>
  <bookViews>
    <workbookView xWindow="-28920" yWindow="-120" windowWidth="29040" windowHeight="15720" tabRatio="681" activeTab="1" xr2:uid="{00000000-000D-0000-FFFF-FFFF00000000}"/>
  </bookViews>
  <sheets>
    <sheet name="1-COSTO X KM" sheetId="1" r:id="rId1"/>
    <sheet name="2- EMP. REP" sheetId="2" r:id="rId2"/>
    <sheet name="3- REND Y CONS" sheetId="3" r:id="rId3"/>
    <sheet name="4- PERSONAL" sheetId="15" r:id="rId4"/>
    <sheet name="5-PRECIOS SIN IVA" sheetId="5" r:id="rId5"/>
    <sheet name="5.A SALDO A FAVOR IVA" sheetId="14" r:id="rId6"/>
    <sheet name="6- IMPUESTOS" sheetId="6" r:id="rId7"/>
    <sheet name="7-CALCULO TARIFARIO" sheetId="7" r:id="rId8"/>
    <sheet name="8- COSTO COMBUST" sheetId="8" r:id="rId9"/>
    <sheet name="9- COSTO POR VEHICULO" sheetId="9" r:id="rId10"/>
    <sheet name="10-RESUMEN DE COSTOS" sheetId="10" r:id="rId11"/>
    <sheet name="11-BALANCE DE COMPENSACION" sheetId="11" r:id="rId12"/>
  </sheets>
  <externalReferences>
    <externalReference r:id="rId13"/>
    <externalReference r:id="rId14"/>
  </externalReferences>
  <definedNames>
    <definedName name="_xlnm._FilterDatabase" localSheetId="0" hidden="1">'1-COSTO X KM'!$A$3:$J$3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D4" i="2"/>
  <c r="C5" i="2"/>
  <c r="I5" i="2"/>
  <c r="C53" i="15"/>
  <c r="D53" i="15" s="1"/>
  <c r="E53" i="15" s="1"/>
  <c r="F53" i="15" s="1"/>
  <c r="G53" i="15" s="1"/>
  <c r="H53" i="15" s="1"/>
  <c r="I53" i="15" s="1"/>
  <c r="J53" i="15" s="1"/>
  <c r="C52" i="15"/>
  <c r="D52" i="15" s="1"/>
  <c r="E52" i="15" s="1"/>
  <c r="F52" i="15" s="1"/>
  <c r="G52" i="15" s="1"/>
  <c r="H52" i="15" s="1"/>
  <c r="I52" i="15" s="1"/>
  <c r="J52" i="15" s="1"/>
  <c r="C51" i="15"/>
  <c r="D51" i="15" s="1"/>
  <c r="E51" i="15" s="1"/>
  <c r="F51" i="15" s="1"/>
  <c r="G51" i="15" s="1"/>
  <c r="H51" i="15" s="1"/>
  <c r="I51" i="15" s="1"/>
  <c r="C60" i="15"/>
  <c r="D60" i="15" s="1"/>
  <c r="E60" i="15" s="1"/>
  <c r="F60" i="15" s="1"/>
  <c r="G60" i="15" s="1"/>
  <c r="H60" i="15" s="1"/>
  <c r="I60" i="15" s="1"/>
  <c r="J60" i="15" s="1"/>
  <c r="C108" i="15"/>
  <c r="D108" i="15" s="1"/>
  <c r="E108" i="15" s="1"/>
  <c r="F108" i="15" s="1"/>
  <c r="G108" i="15" s="1"/>
  <c r="H108" i="15" s="1"/>
  <c r="I108" i="15" s="1"/>
  <c r="J108" i="15" s="1"/>
  <c r="C107" i="15"/>
  <c r="D107" i="15" s="1"/>
  <c r="E107" i="15" s="1"/>
  <c r="F107" i="15" s="1"/>
  <c r="G107" i="15" s="1"/>
  <c r="H107" i="15" s="1"/>
  <c r="I107" i="15" s="1"/>
  <c r="J107" i="15" s="1"/>
  <c r="C117" i="15"/>
  <c r="D117" i="15" s="1"/>
  <c r="E117" i="15" s="1"/>
  <c r="F117" i="15" s="1"/>
  <c r="G117" i="15" s="1"/>
  <c r="H117" i="15" s="1"/>
  <c r="I117" i="15" s="1"/>
  <c r="J117" i="15" s="1"/>
  <c r="C116" i="15"/>
  <c r="D116" i="15" s="1"/>
  <c r="E116" i="15" s="1"/>
  <c r="F116" i="15" s="1"/>
  <c r="G116" i="15" s="1"/>
  <c r="H116" i="15" s="1"/>
  <c r="I116" i="15" s="1"/>
  <c r="J116" i="15" s="1"/>
  <c r="C115" i="15"/>
  <c r="D115" i="15" s="1"/>
  <c r="E115" i="15" s="1"/>
  <c r="F115" i="15" s="1"/>
  <c r="G115" i="15" s="1"/>
  <c r="H115" i="15" s="1"/>
  <c r="I115" i="15" s="1"/>
  <c r="J115" i="15" s="1"/>
  <c r="C125" i="15"/>
  <c r="D125" i="15" s="1"/>
  <c r="E125" i="15" s="1"/>
  <c r="F125" i="15" s="1"/>
  <c r="G125" i="15" s="1"/>
  <c r="H125" i="15" s="1"/>
  <c r="I125" i="15" s="1"/>
  <c r="J125" i="15" s="1"/>
  <c r="C124" i="15"/>
  <c r="D124" i="15" s="1"/>
  <c r="E124" i="15" s="1"/>
  <c r="F124" i="15" s="1"/>
  <c r="G124" i="15" s="1"/>
  <c r="H124" i="15" s="1"/>
  <c r="I124" i="15" s="1"/>
  <c r="J124" i="15" s="1"/>
  <c r="C123" i="15"/>
  <c r="D123" i="15" s="1"/>
  <c r="E123" i="15" s="1"/>
  <c r="F123" i="15" s="1"/>
  <c r="G123" i="15" s="1"/>
  <c r="H123" i="15" s="1"/>
  <c r="I123" i="15" s="1"/>
  <c r="J123" i="15" s="1"/>
  <c r="J18" i="5" l="1"/>
  <c r="AO40" i="1" l="1"/>
  <c r="AN40" i="1"/>
  <c r="AM40" i="1"/>
  <c r="AL40" i="1"/>
  <c r="AK40" i="1"/>
  <c r="AJ40" i="1"/>
  <c r="AI40" i="1"/>
  <c r="AH40" i="1"/>
  <c r="AG40" i="1"/>
  <c r="AF32" i="1" l="1"/>
  <c r="AF31" i="1"/>
  <c r="AF30" i="1"/>
  <c r="AF29" i="1"/>
  <c r="AF28" i="1"/>
  <c r="AF27" i="1"/>
  <c r="AF26" i="1"/>
  <c r="AF16" i="1"/>
  <c r="AF13" i="1"/>
  <c r="AF12" i="1"/>
  <c r="AF11" i="1"/>
  <c r="AF10" i="1"/>
  <c r="AF9" i="1"/>
  <c r="AF8" i="1"/>
  <c r="L53" i="1"/>
  <c r="AF53" i="1" s="1"/>
  <c r="L52" i="1"/>
  <c r="AF52" i="1" s="1"/>
  <c r="L51" i="1"/>
  <c r="AF51" i="1" s="1"/>
  <c r="L50" i="1"/>
  <c r="AF50" i="1" s="1"/>
  <c r="L49" i="1"/>
  <c r="AF49" i="1" s="1"/>
  <c r="L48" i="1"/>
  <c r="AF48" i="1" s="1"/>
  <c r="L47" i="1"/>
  <c r="AF47" i="1" s="1"/>
  <c r="L46" i="1"/>
  <c r="AF46" i="1" s="1"/>
  <c r="L45" i="1"/>
  <c r="AF45" i="1" s="1"/>
  <c r="L44" i="1"/>
  <c r="AF44" i="1" s="1"/>
  <c r="L43" i="1"/>
  <c r="AF43" i="1" s="1"/>
  <c r="L42" i="1"/>
  <c r="AF42" i="1" s="1"/>
  <c r="L41" i="1"/>
  <c r="AF41" i="1" s="1"/>
  <c r="L40" i="1"/>
  <c r="AF40" i="1" s="1"/>
  <c r="L39" i="1"/>
  <c r="AF39" i="1" s="1"/>
  <c r="L38" i="1"/>
  <c r="AF38" i="1" s="1"/>
  <c r="L37" i="1"/>
  <c r="AF37" i="1" s="1"/>
  <c r="L36" i="1"/>
  <c r="AF36" i="1" s="1"/>
  <c r="L35" i="1"/>
  <c r="AF35" i="1" s="1"/>
  <c r="L34" i="1"/>
  <c r="AF34" i="1" s="1"/>
  <c r="L33" i="1"/>
  <c r="AF33" i="1" s="1"/>
  <c r="L32" i="1"/>
  <c r="L31" i="1"/>
  <c r="L30" i="1"/>
  <c r="L29" i="1"/>
  <c r="L28" i="1"/>
  <c r="L27" i="1"/>
  <c r="L26" i="1"/>
  <c r="L25" i="1"/>
  <c r="AF25" i="1" s="1"/>
  <c r="L24" i="1"/>
  <c r="AF24" i="1" s="1"/>
  <c r="L23" i="1"/>
  <c r="AF23" i="1" s="1"/>
  <c r="L22" i="1"/>
  <c r="AF22" i="1" s="1"/>
  <c r="L21" i="1"/>
  <c r="AF21" i="1" s="1"/>
  <c r="L20" i="1"/>
  <c r="AF20" i="1" s="1"/>
  <c r="L19" i="1"/>
  <c r="AF19" i="1" s="1"/>
  <c r="L18" i="1"/>
  <c r="AF18" i="1" s="1"/>
  <c r="L17" i="1"/>
  <c r="AF17" i="1" s="1"/>
  <c r="L16" i="1"/>
  <c r="L15" i="1"/>
  <c r="AF15" i="1" s="1"/>
  <c r="L14" i="1"/>
  <c r="AF14" i="1" s="1"/>
  <c r="L13" i="1"/>
  <c r="L12" i="1"/>
  <c r="L11" i="1"/>
  <c r="L10" i="1"/>
  <c r="L9" i="1"/>
  <c r="L8" i="1"/>
  <c r="L7" i="1"/>
  <c r="AF7" i="1" s="1"/>
  <c r="L6" i="1"/>
  <c r="AF6" i="1" s="1"/>
  <c r="L5" i="1"/>
  <c r="AF5" i="1" s="1"/>
  <c r="L4" i="1"/>
  <c r="AF4" i="1" s="1"/>
  <c r="L3" i="1"/>
  <c r="AF3" i="1" s="1"/>
  <c r="V3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53" i="1"/>
  <c r="V52" i="1"/>
  <c r="V51" i="1"/>
  <c r="AA40" i="1"/>
  <c r="Z40" i="1"/>
  <c r="D18" i="14" l="1"/>
  <c r="E17" i="8"/>
  <c r="E15" i="8"/>
  <c r="E7" i="8"/>
  <c r="B4" i="3"/>
  <c r="E9" i="8"/>
  <c r="E8" i="8"/>
  <c r="D6" i="15"/>
  <c r="C40" i="5" l="1"/>
  <c r="D40" i="5" s="1"/>
  <c r="E40" i="5" s="1"/>
  <c r="F40" i="5" s="1"/>
  <c r="G40" i="5" s="1"/>
  <c r="H40" i="5" s="1"/>
  <c r="I40" i="5" s="1"/>
  <c r="J40" i="5" s="1"/>
  <c r="L16" i="11" l="1"/>
  <c r="C27" i="5" l="1"/>
  <c r="C7" i="1"/>
  <c r="AH7" i="1" s="1"/>
  <c r="C6" i="1"/>
  <c r="AH6" i="1" s="1"/>
  <c r="M19" i="5"/>
  <c r="D9" i="14"/>
  <c r="E21" i="14" l="1"/>
  <c r="X6" i="1"/>
  <c r="E23" i="14"/>
  <c r="X7" i="1"/>
  <c r="E14" i="8"/>
  <c r="B4" i="5" l="1"/>
  <c r="C4" i="5"/>
  <c r="D4" i="5" s="1"/>
  <c r="T9" i="5"/>
  <c r="T8" i="5"/>
  <c r="S10" i="5"/>
  <c r="T10" i="5"/>
  <c r="T5" i="5"/>
  <c r="T4" i="5"/>
  <c r="C54" i="15" l="1"/>
  <c r="G54" i="15"/>
  <c r="B6" i="8"/>
  <c r="X23" i="5"/>
  <c r="Y22" i="5"/>
  <c r="Y21" i="5"/>
  <c r="Y23" i="5" s="1"/>
  <c r="Z23" i="5" s="1"/>
  <c r="X19" i="5"/>
  <c r="Y18" i="5"/>
  <c r="Y17" i="5"/>
  <c r="Y19" i="5" s="1"/>
  <c r="Z19" i="5" s="1"/>
  <c r="D46" i="5"/>
  <c r="E46" i="5" s="1"/>
  <c r="D45" i="5"/>
  <c r="E45" i="5" s="1"/>
  <c r="D44" i="5"/>
  <c r="E44" i="5" s="1"/>
  <c r="D43" i="5"/>
  <c r="E43" i="5" s="1"/>
  <c r="F43" i="5" s="1"/>
  <c r="G43" i="5" s="1"/>
  <c r="H43" i="5" s="1"/>
  <c r="I43" i="5" s="1"/>
  <c r="J43" i="5" s="1"/>
  <c r="D18" i="5"/>
  <c r="G18" i="5" s="1"/>
  <c r="D17" i="5"/>
  <c r="E4" i="5"/>
  <c r="F4" i="5" s="1"/>
  <c r="G4" i="5" s="1"/>
  <c r="H4" i="5" s="1"/>
  <c r="I4" i="5" s="1"/>
  <c r="J4" i="5" s="1"/>
  <c r="J160" i="15"/>
  <c r="I160" i="15"/>
  <c r="H160" i="15"/>
  <c r="G160" i="15"/>
  <c r="F160" i="15"/>
  <c r="E160" i="15"/>
  <c r="D160" i="15"/>
  <c r="C160" i="15"/>
  <c r="G24" i="3"/>
  <c r="G25" i="3"/>
  <c r="F18" i="5" l="1"/>
  <c r="H18" i="5" s="1"/>
  <c r="B10" i="8"/>
  <c r="B12" i="8" s="1"/>
  <c r="B18" i="8" s="1"/>
  <c r="B19" i="8" s="1"/>
  <c r="B22" i="8" s="1"/>
  <c r="F17" i="5"/>
  <c r="G17" i="5"/>
  <c r="H17" i="5" s="1"/>
  <c r="L19" i="5" s="1"/>
  <c r="G106" i="15" l="1"/>
  <c r="G114" i="15" s="1"/>
  <c r="B5" i="5"/>
  <c r="B20" i="8"/>
  <c r="B15" i="2"/>
  <c r="C15" i="2"/>
  <c r="G15" i="2"/>
  <c r="D15" i="14" l="1"/>
  <c r="B21" i="8"/>
  <c r="G122" i="15"/>
  <c r="G121" i="15" s="1"/>
  <c r="E145" i="15"/>
  <c r="C145" i="15"/>
  <c r="B145" i="15"/>
  <c r="I4" i="15"/>
  <c r="G4" i="15"/>
  <c r="D4" i="15"/>
  <c r="F8" i="15"/>
  <c r="G8" i="15" s="1"/>
  <c r="H8" i="15" s="1"/>
  <c r="F7" i="15"/>
  <c r="G7" i="15" s="1"/>
  <c r="H7" i="15" s="1"/>
  <c r="F6" i="15"/>
  <c r="G6" i="15" s="1"/>
  <c r="H4" i="15" l="1"/>
  <c r="D145" i="15"/>
  <c r="J4" i="15"/>
  <c r="H6" i="15"/>
  <c r="F4" i="15"/>
  <c r="G145" i="15"/>
  <c r="I145" i="15"/>
  <c r="D14" i="15"/>
  <c r="D13" i="15"/>
  <c r="F13" i="15" s="1"/>
  <c r="H13" i="15" s="1"/>
  <c r="D12" i="15"/>
  <c r="F12" i="15" s="1"/>
  <c r="H12" i="15" s="1"/>
  <c r="D11" i="15"/>
  <c r="F11" i="15" s="1"/>
  <c r="H11" i="15" s="1"/>
  <c r="I14" i="15"/>
  <c r="J14" i="15" s="1"/>
  <c r="I13" i="15"/>
  <c r="J13" i="15" s="1"/>
  <c r="I12" i="15"/>
  <c r="J12" i="15" s="1"/>
  <c r="J11" i="15"/>
  <c r="D21" i="15"/>
  <c r="F21" i="15" s="1"/>
  <c r="G21" i="15" s="1"/>
  <c r="H21" i="15" s="1"/>
  <c r="D20" i="15"/>
  <c r="F20" i="15" s="1"/>
  <c r="G20" i="15" s="1"/>
  <c r="H20" i="15" s="1"/>
  <c r="D19" i="15"/>
  <c r="F19" i="15" s="1"/>
  <c r="G19" i="15" s="1"/>
  <c r="H19" i="15" s="1"/>
  <c r="D18" i="15"/>
  <c r="F18" i="15" s="1"/>
  <c r="G18" i="15" s="1"/>
  <c r="H18" i="15" s="1"/>
  <c r="D17" i="15"/>
  <c r="F17" i="15" s="1"/>
  <c r="H17" i="15" s="1"/>
  <c r="I21" i="15"/>
  <c r="J21" i="15" s="1"/>
  <c r="I20" i="15"/>
  <c r="J20" i="15" s="1"/>
  <c r="I19" i="15"/>
  <c r="J19" i="15" s="1"/>
  <c r="I18" i="15"/>
  <c r="J18" i="15" s="1"/>
  <c r="J17" i="15"/>
  <c r="F145" i="15" l="1"/>
  <c r="H145" i="15"/>
  <c r="J145" i="15"/>
  <c r="L9" i="5"/>
  <c r="S6" i="5"/>
  <c r="T6" i="5" l="1"/>
  <c r="J6" i="15" l="1"/>
  <c r="I7" i="15"/>
  <c r="J7" i="15"/>
  <c r="I8" i="15"/>
  <c r="J8" i="15" s="1"/>
  <c r="C9" i="15"/>
  <c r="B9" i="15"/>
  <c r="E9" i="15"/>
  <c r="D9" i="15" l="1"/>
  <c r="I9" i="15"/>
  <c r="F9" i="15" l="1"/>
  <c r="J9" i="15"/>
  <c r="G9" i="15" l="1"/>
  <c r="H9" i="15" l="1"/>
  <c r="B18" i="7"/>
  <c r="C18" i="7"/>
  <c r="D18" i="7"/>
  <c r="E18" i="7"/>
  <c r="F18" i="7"/>
  <c r="G18" i="7"/>
  <c r="H18" i="7"/>
  <c r="I18" i="7"/>
  <c r="J18" i="7"/>
  <c r="B24" i="7"/>
  <c r="C24" i="7"/>
  <c r="D24" i="7"/>
  <c r="E24" i="7"/>
  <c r="F24" i="7"/>
  <c r="G24" i="7"/>
  <c r="H24" i="7"/>
  <c r="I24" i="7"/>
  <c r="J24" i="7"/>
  <c r="K23" i="7"/>
  <c r="K17" i="7"/>
  <c r="B24" i="5" l="1"/>
  <c r="L15" i="11" l="1"/>
  <c r="G6" i="10"/>
  <c r="F6" i="10"/>
  <c r="D6" i="10"/>
  <c r="C6" i="10"/>
  <c r="I49" i="5" l="1"/>
  <c r="J49" i="5" s="1"/>
  <c r="B59" i="5" l="1"/>
  <c r="S104" i="15"/>
  <c r="E6" i="10" l="1"/>
  <c r="J6" i="10"/>
  <c r="H6" i="10"/>
  <c r="S109" i="15"/>
  <c r="S108" i="15"/>
  <c r="S107" i="15"/>
  <c r="S106" i="15"/>
  <c r="S105" i="15"/>
  <c r="S103" i="15"/>
  <c r="S102" i="15"/>
  <c r="S101" i="15"/>
  <c r="Q96" i="15"/>
  <c r="T96" i="15" s="1"/>
  <c r="Q95" i="15"/>
  <c r="T95" i="15" s="1"/>
  <c r="Q94" i="15"/>
  <c r="T94" i="15" s="1"/>
  <c r="Q93" i="15"/>
  <c r="T93" i="15" s="1"/>
  <c r="Q92" i="15"/>
  <c r="T92" i="15" s="1"/>
  <c r="Q91" i="15"/>
  <c r="T91" i="15" s="1"/>
  <c r="Q90" i="15"/>
  <c r="T90" i="15" s="1"/>
  <c r="Q89" i="15"/>
  <c r="T89" i="15" s="1"/>
  <c r="Q88" i="15"/>
  <c r="T88" i="15" s="1"/>
  <c r="K6" i="10" l="1"/>
  <c r="I6" i="10"/>
  <c r="H25" i="3"/>
  <c r="I25" i="3" s="1"/>
  <c r="J25" i="3" s="1"/>
  <c r="H24" i="3"/>
  <c r="I24" i="3" s="1"/>
  <c r="J24" i="3" s="1"/>
  <c r="F47" i="5"/>
  <c r="G47" i="5" s="1"/>
  <c r="H47" i="5" s="1"/>
  <c r="I47" i="5" s="1"/>
  <c r="J47" i="5" s="1"/>
  <c r="C19" i="10"/>
  <c r="F8" i="8"/>
  <c r="G8" i="8" s="1"/>
  <c r="H8" i="8" s="1"/>
  <c r="I8" i="8" s="1"/>
  <c r="J8" i="8" s="1"/>
  <c r="K8" i="8" s="1"/>
  <c r="L8" i="8" s="1"/>
  <c r="D19" i="10" l="1"/>
  <c r="C89" i="15"/>
  <c r="D89" i="15" s="1"/>
  <c r="E89" i="15" s="1"/>
  <c r="F89" i="15" s="1"/>
  <c r="G89" i="15" s="1"/>
  <c r="H89" i="15" s="1"/>
  <c r="I89" i="15" s="1"/>
  <c r="J89" i="15" s="1"/>
  <c r="C88" i="15"/>
  <c r="D88" i="15" s="1"/>
  <c r="E88" i="15" s="1"/>
  <c r="F88" i="15" s="1"/>
  <c r="G88" i="15" s="1"/>
  <c r="H88" i="15" s="1"/>
  <c r="I88" i="15" s="1"/>
  <c r="J88" i="15" s="1"/>
  <c r="C55" i="15"/>
  <c r="C56" i="15" s="1"/>
  <c r="B12" i="7"/>
  <c r="C17" i="10" l="1"/>
  <c r="E19" i="10"/>
  <c r="J12" i="7"/>
  <c r="I12" i="7"/>
  <c r="H12" i="7"/>
  <c r="G12" i="7"/>
  <c r="F12" i="7"/>
  <c r="E12" i="7"/>
  <c r="D12" i="7"/>
  <c r="C12" i="7"/>
  <c r="C16" i="10" l="1"/>
  <c r="F19" i="10"/>
  <c r="B6" i="2"/>
  <c r="B19" i="2" s="1"/>
  <c r="C130" i="15"/>
  <c r="C73" i="15"/>
  <c r="D73" i="15" s="1"/>
  <c r="E73" i="15" s="1"/>
  <c r="F73" i="15" s="1"/>
  <c r="G73" i="15" s="1"/>
  <c r="H73" i="15" s="1"/>
  <c r="I73" i="15" s="1"/>
  <c r="J73" i="15" s="1"/>
  <c r="F14" i="15"/>
  <c r="H14" i="15" s="1"/>
  <c r="B157" i="15"/>
  <c r="C156" i="15"/>
  <c r="D156" i="15" s="1"/>
  <c r="E156" i="15" s="1"/>
  <c r="F156" i="15" s="1"/>
  <c r="G156" i="15" s="1"/>
  <c r="H156" i="15" s="1"/>
  <c r="I156" i="15" s="1"/>
  <c r="J156" i="15" s="1"/>
  <c r="C155" i="15"/>
  <c r="C144" i="15"/>
  <c r="D144" i="15" s="1"/>
  <c r="C136" i="15"/>
  <c r="D136" i="15" s="1"/>
  <c r="E136" i="15" s="1"/>
  <c r="F136" i="15" s="1"/>
  <c r="G136" i="15" s="1"/>
  <c r="H136" i="15" s="1"/>
  <c r="I136" i="15" s="1"/>
  <c r="J136" i="15" s="1"/>
  <c r="C135" i="15"/>
  <c r="D135" i="15" s="1"/>
  <c r="E135" i="15" s="1"/>
  <c r="F135" i="15" s="1"/>
  <c r="G135" i="15" s="1"/>
  <c r="H135" i="15" s="1"/>
  <c r="I135" i="15" s="1"/>
  <c r="J135" i="15" s="1"/>
  <c r="C129" i="15"/>
  <c r="C127" i="15"/>
  <c r="D127" i="15" s="1"/>
  <c r="E127" i="15" s="1"/>
  <c r="F127" i="15" s="1"/>
  <c r="G127" i="15" s="1"/>
  <c r="H127" i="15" s="1"/>
  <c r="I127" i="15" s="1"/>
  <c r="J127" i="15" s="1"/>
  <c r="C119" i="15"/>
  <c r="D119" i="15" s="1"/>
  <c r="E119" i="15" s="1"/>
  <c r="F119" i="15" s="1"/>
  <c r="G119" i="15" s="1"/>
  <c r="H119" i="15" s="1"/>
  <c r="I119" i="15" s="1"/>
  <c r="J119" i="15" s="1"/>
  <c r="B112" i="15"/>
  <c r="C112" i="15" s="1"/>
  <c r="D112" i="15" s="1"/>
  <c r="E112" i="15" s="1"/>
  <c r="F112" i="15" s="1"/>
  <c r="G112" i="15" s="1"/>
  <c r="H112" i="15" s="1"/>
  <c r="I112" i="15" s="1"/>
  <c r="J112" i="15" s="1"/>
  <c r="C111" i="15"/>
  <c r="D111" i="15" s="1"/>
  <c r="E111" i="15" s="1"/>
  <c r="F111" i="15" s="1"/>
  <c r="G111" i="15" s="1"/>
  <c r="H111" i="15" s="1"/>
  <c r="I111" i="15" s="1"/>
  <c r="J111" i="15" s="1"/>
  <c r="C110" i="15"/>
  <c r="D110" i="15" s="1"/>
  <c r="E110" i="15" s="1"/>
  <c r="F110" i="15" s="1"/>
  <c r="G110" i="15" s="1"/>
  <c r="H110" i="15" s="1"/>
  <c r="I110" i="15" s="1"/>
  <c r="J110" i="15" s="1"/>
  <c r="C101" i="15"/>
  <c r="D101" i="15" s="1"/>
  <c r="N97" i="15"/>
  <c r="N98" i="15" s="1"/>
  <c r="B97" i="15"/>
  <c r="B99" i="15" s="1"/>
  <c r="C95" i="15"/>
  <c r="H82" i="15"/>
  <c r="I82" i="15" s="1"/>
  <c r="J82" i="15" s="1"/>
  <c r="G76" i="15"/>
  <c r="G79" i="15" s="1"/>
  <c r="H79" i="15" s="1"/>
  <c r="I79" i="15" s="1"/>
  <c r="J79" i="15" s="1"/>
  <c r="B74" i="15"/>
  <c r="C72" i="15"/>
  <c r="D72" i="15" s="1"/>
  <c r="E72" i="15" s="1"/>
  <c r="F72" i="15" s="1"/>
  <c r="G72" i="15" s="1"/>
  <c r="H72" i="15" s="1"/>
  <c r="I72" i="15" s="1"/>
  <c r="J72" i="15" s="1"/>
  <c r="C71" i="15"/>
  <c r="D71" i="15" s="1"/>
  <c r="E71" i="15" s="1"/>
  <c r="F71" i="15" s="1"/>
  <c r="G71" i="15" s="1"/>
  <c r="H71" i="15" s="1"/>
  <c r="I71" i="15" s="1"/>
  <c r="J71" i="15" s="1"/>
  <c r="C70" i="15"/>
  <c r="D70" i="15" s="1"/>
  <c r="E70" i="15" s="1"/>
  <c r="F70" i="15" s="1"/>
  <c r="G70" i="15" s="1"/>
  <c r="H70" i="15" s="1"/>
  <c r="I70" i="15" s="1"/>
  <c r="J70" i="15" s="1"/>
  <c r="C69" i="15"/>
  <c r="D69" i="15" s="1"/>
  <c r="E69" i="15" s="1"/>
  <c r="F69" i="15" s="1"/>
  <c r="G69" i="15" s="1"/>
  <c r="H69" i="15" s="1"/>
  <c r="I69" i="15" s="1"/>
  <c r="J69" i="15" s="1"/>
  <c r="C68" i="15"/>
  <c r="D68" i="15" s="1"/>
  <c r="E68" i="15" s="1"/>
  <c r="F68" i="15" s="1"/>
  <c r="G68" i="15" s="1"/>
  <c r="H68" i="15" s="1"/>
  <c r="I68" i="15" s="1"/>
  <c r="J68" i="15" s="1"/>
  <c r="C67" i="15"/>
  <c r="C64" i="15"/>
  <c r="D64" i="15" s="1"/>
  <c r="E64" i="15" s="1"/>
  <c r="F64" i="15" s="1"/>
  <c r="G64" i="15" s="1"/>
  <c r="H64" i="15" s="1"/>
  <c r="I64" i="15" s="1"/>
  <c r="J64" i="15" s="1"/>
  <c r="C63" i="15"/>
  <c r="C61" i="15"/>
  <c r="D61" i="15" s="1"/>
  <c r="E61" i="15" s="1"/>
  <c r="F61" i="15" s="1"/>
  <c r="G61" i="15" s="1"/>
  <c r="C58" i="15"/>
  <c r="D58" i="15" s="1"/>
  <c r="E58" i="15" s="1"/>
  <c r="F58" i="15" s="1"/>
  <c r="G58" i="15" s="1"/>
  <c r="H58" i="15" s="1"/>
  <c r="I58" i="15" s="1"/>
  <c r="J58" i="15" s="1"/>
  <c r="D55" i="15"/>
  <c r="E55" i="15" s="1"/>
  <c r="F55" i="15" s="1"/>
  <c r="G55" i="15" s="1"/>
  <c r="E22" i="15"/>
  <c r="C22" i="15"/>
  <c r="B22" i="15"/>
  <c r="E15" i="15"/>
  <c r="C15" i="15"/>
  <c r="B15" i="15"/>
  <c r="B106" i="15" l="1"/>
  <c r="B114" i="15" s="1"/>
  <c r="C114" i="15" s="1"/>
  <c r="D114" i="15" s="1"/>
  <c r="E114" i="15" s="1"/>
  <c r="F114" i="15" s="1"/>
  <c r="H114" i="15" s="1"/>
  <c r="I114" i="15" s="1"/>
  <c r="J114" i="15" s="1"/>
  <c r="H61" i="15"/>
  <c r="I61" i="15" s="1"/>
  <c r="J61" i="15" s="1"/>
  <c r="H55" i="15"/>
  <c r="I55" i="15" s="1"/>
  <c r="J55" i="15" s="1"/>
  <c r="G56" i="15"/>
  <c r="H56" i="15" s="1"/>
  <c r="I56" i="15" s="1"/>
  <c r="J56" i="15" s="1"/>
  <c r="D63" i="15"/>
  <c r="B148" i="15"/>
  <c r="B33" i="3"/>
  <c r="B34" i="3"/>
  <c r="B36" i="3"/>
  <c r="B35" i="3"/>
  <c r="G19" i="10"/>
  <c r="H54" i="15"/>
  <c r="I54" i="15" s="1"/>
  <c r="J54" i="15" s="1"/>
  <c r="D130" i="15"/>
  <c r="C131" i="15"/>
  <c r="F22" i="15"/>
  <c r="J15" i="15"/>
  <c r="I15" i="15"/>
  <c r="D22" i="15"/>
  <c r="D15" i="15"/>
  <c r="I22" i="15"/>
  <c r="J22" i="15"/>
  <c r="B93" i="15"/>
  <c r="C74" i="15"/>
  <c r="E144" i="15"/>
  <c r="E147" i="15" s="1"/>
  <c r="D67" i="15"/>
  <c r="E67" i="15" s="1"/>
  <c r="F67" i="15" s="1"/>
  <c r="C94" i="15"/>
  <c r="H76" i="15"/>
  <c r="I76" i="15" s="1"/>
  <c r="J76" i="15" s="1"/>
  <c r="G77" i="15"/>
  <c r="H77" i="15" s="1"/>
  <c r="I77" i="15" s="1"/>
  <c r="J77" i="15" s="1"/>
  <c r="G78" i="15"/>
  <c r="H78" i="15" s="1"/>
  <c r="I78" i="15" s="1"/>
  <c r="J78" i="15" s="1"/>
  <c r="G81" i="15"/>
  <c r="H81" i="15" s="1"/>
  <c r="I81" i="15" s="1"/>
  <c r="J81" i="15" s="1"/>
  <c r="C148" i="15"/>
  <c r="G80" i="15"/>
  <c r="H80" i="15" s="1"/>
  <c r="I80" i="15" s="1"/>
  <c r="J80" i="15" s="1"/>
  <c r="N99" i="15"/>
  <c r="B147" i="15"/>
  <c r="E101" i="15"/>
  <c r="C147" i="15"/>
  <c r="D95" i="15"/>
  <c r="C97" i="15"/>
  <c r="D129" i="15"/>
  <c r="C157" i="15"/>
  <c r="D155" i="15"/>
  <c r="L14" i="11"/>
  <c r="D54" i="15" l="1"/>
  <c r="D56" i="15" s="1"/>
  <c r="B122" i="15"/>
  <c r="B121" i="15" s="1"/>
  <c r="C106" i="15"/>
  <c r="D106" i="15" s="1"/>
  <c r="C15" i="10"/>
  <c r="B54" i="15"/>
  <c r="B56" i="15" s="1"/>
  <c r="B57" i="15" s="1"/>
  <c r="G57" i="15"/>
  <c r="G109" i="15"/>
  <c r="E63" i="15"/>
  <c r="D148" i="15"/>
  <c r="H19" i="10"/>
  <c r="E130" i="15"/>
  <c r="D131" i="15"/>
  <c r="D147" i="15"/>
  <c r="G22" i="15"/>
  <c r="F15" i="15"/>
  <c r="E148" i="15"/>
  <c r="D74" i="15"/>
  <c r="E74" i="15"/>
  <c r="F144" i="15"/>
  <c r="D94" i="15"/>
  <c r="E129" i="15"/>
  <c r="C99" i="15"/>
  <c r="C93" i="15"/>
  <c r="D157" i="15"/>
  <c r="E155" i="15"/>
  <c r="E95" i="15"/>
  <c r="E97" i="15" s="1"/>
  <c r="D97" i="15"/>
  <c r="F101" i="15"/>
  <c r="G83" i="15"/>
  <c r="H83" i="15" s="1"/>
  <c r="I83" i="15" s="1"/>
  <c r="J83" i="15" s="1"/>
  <c r="F74" i="15"/>
  <c r="G67" i="15"/>
  <c r="J51" i="15" l="1"/>
  <c r="F54" i="15" s="1"/>
  <c r="F56" i="15" s="1"/>
  <c r="E54" i="15"/>
  <c r="E56" i="15" s="1"/>
  <c r="C122" i="15"/>
  <c r="D122" i="15" s="1"/>
  <c r="E122" i="15" s="1"/>
  <c r="F122" i="15" s="1"/>
  <c r="H122" i="15" s="1"/>
  <c r="I122" i="15" s="1"/>
  <c r="J122" i="15" s="1"/>
  <c r="F63" i="15"/>
  <c r="I19" i="10"/>
  <c r="C57" i="15"/>
  <c r="F130" i="15"/>
  <c r="E131" i="15"/>
  <c r="B42" i="15"/>
  <c r="B35" i="15"/>
  <c r="B41" i="15"/>
  <c r="B34" i="15"/>
  <c r="B30" i="15"/>
  <c r="B43" i="15"/>
  <c r="B36" i="15"/>
  <c r="B40" i="15"/>
  <c r="B33" i="15"/>
  <c r="B29" i="15"/>
  <c r="B26" i="15"/>
  <c r="B39" i="15"/>
  <c r="B28" i="15"/>
  <c r="H22" i="15"/>
  <c r="G15" i="15"/>
  <c r="H15" i="15"/>
  <c r="F147" i="15"/>
  <c r="F148" i="15"/>
  <c r="G144" i="15"/>
  <c r="E94" i="15"/>
  <c r="F95" i="15"/>
  <c r="E157" i="15"/>
  <c r="F155" i="15"/>
  <c r="E106" i="15"/>
  <c r="F129" i="15"/>
  <c r="C121" i="15"/>
  <c r="D121" i="15" s="1"/>
  <c r="E121" i="15" s="1"/>
  <c r="F121" i="15" s="1"/>
  <c r="H121" i="15" s="1"/>
  <c r="I121" i="15" s="1"/>
  <c r="J121" i="15" s="1"/>
  <c r="D99" i="15"/>
  <c r="D93" i="15"/>
  <c r="H67" i="15"/>
  <c r="G74" i="15"/>
  <c r="G101" i="15"/>
  <c r="D37" i="5"/>
  <c r="E37" i="5" s="1"/>
  <c r="F37" i="5" s="1"/>
  <c r="F9" i="8"/>
  <c r="G63" i="15" l="1"/>
  <c r="J19" i="10"/>
  <c r="D57" i="15"/>
  <c r="G130" i="15"/>
  <c r="F131" i="15"/>
  <c r="B31" i="15"/>
  <c r="B44" i="15"/>
  <c r="B37" i="15"/>
  <c r="G148" i="15"/>
  <c r="G147" i="15"/>
  <c r="H144" i="15"/>
  <c r="H101" i="15"/>
  <c r="G129" i="15"/>
  <c r="F157" i="15"/>
  <c r="G155" i="15"/>
  <c r="F94" i="15"/>
  <c r="F97" i="15"/>
  <c r="G95" i="15"/>
  <c r="H74" i="15"/>
  <c r="I67" i="15"/>
  <c r="F106" i="15"/>
  <c r="E99" i="15"/>
  <c r="E93" i="15"/>
  <c r="G9" i="8"/>
  <c r="H63" i="15" l="1"/>
  <c r="I63" i="15" s="1"/>
  <c r="J63" i="15" s="1"/>
  <c r="K19" i="10"/>
  <c r="E57" i="15"/>
  <c r="B45" i="15"/>
  <c r="H130" i="15"/>
  <c r="G131" i="15"/>
  <c r="B126" i="15"/>
  <c r="H148" i="15"/>
  <c r="I144" i="15"/>
  <c r="H147" i="15"/>
  <c r="I74" i="15"/>
  <c r="J67" i="15"/>
  <c r="J74" i="15" s="1"/>
  <c r="G97" i="15"/>
  <c r="H95" i="15"/>
  <c r="G94" i="15"/>
  <c r="H129" i="15"/>
  <c r="F99" i="15"/>
  <c r="F93" i="15"/>
  <c r="G157" i="15"/>
  <c r="H155" i="15"/>
  <c r="I101" i="15"/>
  <c r="H9" i="8"/>
  <c r="F57" i="15" l="1"/>
  <c r="C126" i="15"/>
  <c r="I130" i="15"/>
  <c r="H131" i="15"/>
  <c r="I148" i="15"/>
  <c r="I147" i="15"/>
  <c r="J144" i="15"/>
  <c r="I95" i="15"/>
  <c r="H97" i="15"/>
  <c r="G99" i="15"/>
  <c r="G93" i="15"/>
  <c r="I129" i="15"/>
  <c r="H157" i="15"/>
  <c r="I155" i="15"/>
  <c r="H106" i="15"/>
  <c r="J101" i="15"/>
  <c r="H94" i="15"/>
  <c r="I9" i="8"/>
  <c r="D126" i="15" l="1"/>
  <c r="J130" i="15"/>
  <c r="I131" i="15"/>
  <c r="J148" i="15"/>
  <c r="J147" i="15"/>
  <c r="J129" i="15"/>
  <c r="I97" i="15"/>
  <c r="J95" i="15"/>
  <c r="H99" i="15"/>
  <c r="H93" i="15"/>
  <c r="I94" i="15"/>
  <c r="I106" i="15"/>
  <c r="J155" i="15"/>
  <c r="J157" i="15" s="1"/>
  <c r="I157" i="15"/>
  <c r="J9" i="8"/>
  <c r="H57" i="15" l="1"/>
  <c r="E126" i="15"/>
  <c r="J131" i="15"/>
  <c r="J97" i="15"/>
  <c r="J106" i="15"/>
  <c r="J94" i="15"/>
  <c r="I99" i="15"/>
  <c r="I93" i="15"/>
  <c r="K9" i="8"/>
  <c r="L9" i="8" s="1"/>
  <c r="I57" i="15" l="1"/>
  <c r="F126" i="15"/>
  <c r="J99" i="15"/>
  <c r="J93" i="15"/>
  <c r="K6" i="7"/>
  <c r="K12" i="7"/>
  <c r="K18" i="7"/>
  <c r="K24" i="7"/>
  <c r="K12" i="11"/>
  <c r="J12" i="11"/>
  <c r="I12" i="11"/>
  <c r="H12" i="11"/>
  <c r="G12" i="11"/>
  <c r="F12" i="11"/>
  <c r="E12" i="11"/>
  <c r="D12" i="11"/>
  <c r="C12" i="11"/>
  <c r="K7" i="11"/>
  <c r="J7" i="11"/>
  <c r="I7" i="11"/>
  <c r="H7" i="11"/>
  <c r="G7" i="11"/>
  <c r="F7" i="11"/>
  <c r="E7" i="11"/>
  <c r="D7" i="11"/>
  <c r="C7" i="11"/>
  <c r="E10" i="14"/>
  <c r="F10" i="14" s="1"/>
  <c r="G10" i="14" s="1"/>
  <c r="H10" i="14" s="1"/>
  <c r="I10" i="14" s="1"/>
  <c r="J10" i="14" s="1"/>
  <c r="K10" i="14" s="1"/>
  <c r="L10" i="14" s="1"/>
  <c r="E13" i="14"/>
  <c r="F13" i="14" s="1"/>
  <c r="G13" i="14" s="1"/>
  <c r="H13" i="14" s="1"/>
  <c r="I13" i="14" s="1"/>
  <c r="J13" i="14" s="1"/>
  <c r="K13" i="14" s="1"/>
  <c r="L13" i="14" s="1"/>
  <c r="E35" i="14"/>
  <c r="F35" i="14" s="1"/>
  <c r="G35" i="14" s="1"/>
  <c r="H35" i="14" s="1"/>
  <c r="I35" i="14" s="1"/>
  <c r="J35" i="14" s="1"/>
  <c r="K35" i="14" s="1"/>
  <c r="L35" i="14" s="1"/>
  <c r="E34" i="14"/>
  <c r="F34" i="14" s="1"/>
  <c r="G34" i="14" s="1"/>
  <c r="H34" i="14" s="1"/>
  <c r="I34" i="14" s="1"/>
  <c r="J34" i="14" s="1"/>
  <c r="K34" i="14" s="1"/>
  <c r="L34" i="14" s="1"/>
  <c r="D28" i="5"/>
  <c r="D16" i="5"/>
  <c r="E16" i="5" s="1"/>
  <c r="F16" i="5" s="1"/>
  <c r="G16" i="5" s="1"/>
  <c r="H16" i="5" s="1"/>
  <c r="D15" i="5"/>
  <c r="E15" i="5" s="1"/>
  <c r="F15" i="5" s="1"/>
  <c r="G15" i="5" s="1"/>
  <c r="H15" i="5" s="1"/>
  <c r="D14" i="5"/>
  <c r="E14" i="5" s="1"/>
  <c r="F14" i="5" s="1"/>
  <c r="G14" i="5" s="1"/>
  <c r="H14" i="5" s="1"/>
  <c r="D13" i="5"/>
  <c r="E13" i="5" s="1"/>
  <c r="F13" i="5" s="1"/>
  <c r="G13" i="5" s="1"/>
  <c r="H13" i="5" s="1"/>
  <c r="D12" i="5"/>
  <c r="E12" i="5" s="1"/>
  <c r="F12" i="5" s="1"/>
  <c r="G12" i="5" s="1"/>
  <c r="H12" i="5" s="1"/>
  <c r="D11" i="5"/>
  <c r="E11" i="5" s="1"/>
  <c r="F11" i="5" s="1"/>
  <c r="G11" i="5" s="1"/>
  <c r="H11" i="5" s="1"/>
  <c r="D10" i="5"/>
  <c r="E10" i="5" s="1"/>
  <c r="F10" i="5" s="1"/>
  <c r="G10" i="5" s="1"/>
  <c r="H10" i="5" s="1"/>
  <c r="D9" i="5"/>
  <c r="E9" i="5" s="1"/>
  <c r="F9" i="5" s="1"/>
  <c r="G9" i="5" s="1"/>
  <c r="H9" i="5" s="1"/>
  <c r="D8" i="5"/>
  <c r="E8" i="5" s="1"/>
  <c r="D7" i="5"/>
  <c r="E7" i="5" s="1"/>
  <c r="F7" i="5" s="1"/>
  <c r="G7" i="5" s="1"/>
  <c r="H7" i="5" s="1"/>
  <c r="D6" i="5"/>
  <c r="E6" i="5" s="1"/>
  <c r="F6" i="5" s="1"/>
  <c r="G6" i="5" s="1"/>
  <c r="H6" i="5" s="1"/>
  <c r="E28" i="5" l="1"/>
  <c r="D27" i="5"/>
  <c r="I10" i="5"/>
  <c r="J10" i="5" s="1"/>
  <c r="I7" i="5"/>
  <c r="J7" i="5" s="1"/>
  <c r="I11" i="5"/>
  <c r="J11" i="5" s="1"/>
  <c r="I15" i="5"/>
  <c r="J15" i="5" s="1"/>
  <c r="I9" i="5"/>
  <c r="J9" i="5" s="1"/>
  <c r="I13" i="5"/>
  <c r="J13" i="5" s="1"/>
  <c r="I6" i="5"/>
  <c r="J6" i="5" s="1"/>
  <c r="I14" i="5"/>
  <c r="J14" i="5" s="1"/>
  <c r="I12" i="5"/>
  <c r="J12" i="5" s="1"/>
  <c r="I16" i="5"/>
  <c r="J16" i="5" s="1"/>
  <c r="F8" i="5"/>
  <c r="G8" i="5" s="1"/>
  <c r="H8" i="5" s="1"/>
  <c r="J57" i="15"/>
  <c r="G11" i="11"/>
  <c r="K11" i="11"/>
  <c r="C11" i="11"/>
  <c r="H11" i="11"/>
  <c r="E11" i="11"/>
  <c r="I11" i="11"/>
  <c r="D11" i="11"/>
  <c r="L7" i="11"/>
  <c r="F11" i="11"/>
  <c r="J11" i="11"/>
  <c r="L33" i="14"/>
  <c r="K33" i="14"/>
  <c r="J33" i="14"/>
  <c r="I33" i="14"/>
  <c r="H33" i="14"/>
  <c r="G33" i="14"/>
  <c r="F33" i="14"/>
  <c r="E33" i="14"/>
  <c r="D33" i="14"/>
  <c r="D17" i="14"/>
  <c r="D19" i="14" s="1"/>
  <c r="L18" i="14"/>
  <c r="K18" i="14"/>
  <c r="J18" i="14"/>
  <c r="I18" i="14"/>
  <c r="H18" i="14"/>
  <c r="G18" i="14"/>
  <c r="F18" i="14"/>
  <c r="E18" i="14"/>
  <c r="L11" i="14"/>
  <c r="K11" i="14"/>
  <c r="J11" i="14"/>
  <c r="I11" i="14"/>
  <c r="H11" i="14"/>
  <c r="G11" i="14"/>
  <c r="F11" i="14"/>
  <c r="E11" i="14"/>
  <c r="D11" i="14"/>
  <c r="F28" i="5" l="1"/>
  <c r="E27" i="5"/>
  <c r="I8" i="5"/>
  <c r="J8" i="5" s="1"/>
  <c r="D11" i="2"/>
  <c r="D15" i="2" s="1"/>
  <c r="G28" i="5" l="1"/>
  <c r="F27" i="5"/>
  <c r="E11" i="2"/>
  <c r="E15" i="2" s="1"/>
  <c r="G50" i="5"/>
  <c r="H28" i="5" l="1"/>
  <c r="G27" i="5"/>
  <c r="F11" i="2"/>
  <c r="F15" i="2" s="1"/>
  <c r="H27" i="5" l="1"/>
  <c r="I28" i="5"/>
  <c r="J28" i="5" l="1"/>
  <c r="J27" i="5" s="1"/>
  <c r="I27" i="5"/>
  <c r="H11" i="2"/>
  <c r="H15" i="2" s="1"/>
  <c r="H36" i="5"/>
  <c r="I36" i="5" s="1"/>
  <c r="I11" i="2" l="1"/>
  <c r="I15" i="2" s="1"/>
  <c r="J36" i="5"/>
  <c r="B21" i="5"/>
  <c r="B7" i="1"/>
  <c r="W7" i="1" l="1"/>
  <c r="AG7" i="1"/>
  <c r="J11" i="2"/>
  <c r="J15" i="2" s="1"/>
  <c r="D23" i="14"/>
  <c r="B7" i="3"/>
  <c r="C7" i="3" s="1"/>
  <c r="D7" i="3" s="1"/>
  <c r="E7" i="3" s="1"/>
  <c r="F7" i="3" s="1"/>
  <c r="G7" i="3" s="1"/>
  <c r="H7" i="3" s="1"/>
  <c r="I7" i="3" s="1"/>
  <c r="J7" i="3" s="1"/>
  <c r="B6" i="3"/>
  <c r="C6" i="3" s="1"/>
  <c r="D6" i="3" s="1"/>
  <c r="E6" i="3" s="1"/>
  <c r="F6" i="3" s="1"/>
  <c r="G6" i="3" s="1"/>
  <c r="H6" i="3" s="1"/>
  <c r="I6" i="3" s="1"/>
  <c r="J6" i="3" s="1"/>
  <c r="D7" i="1" l="1"/>
  <c r="AI7" i="1" s="1"/>
  <c r="K10" i="11"/>
  <c r="J10" i="11"/>
  <c r="I10" i="11"/>
  <c r="H10" i="11"/>
  <c r="G10" i="11"/>
  <c r="F10" i="11"/>
  <c r="E10" i="11"/>
  <c r="D10" i="11"/>
  <c r="C10" i="11"/>
  <c r="D17" i="10"/>
  <c r="D16" i="10"/>
  <c r="C12" i="10"/>
  <c r="J10" i="10"/>
  <c r="F10" i="10"/>
  <c r="C10" i="10"/>
  <c r="K7" i="10"/>
  <c r="J7" i="10"/>
  <c r="I7" i="10"/>
  <c r="H7" i="10"/>
  <c r="G7" i="10"/>
  <c r="F7" i="10"/>
  <c r="E7" i="10"/>
  <c r="D7" i="10"/>
  <c r="C7" i="10"/>
  <c r="F23" i="14" l="1"/>
  <c r="G23" i="14" s="1"/>
  <c r="H23" i="14" s="1"/>
  <c r="I23" i="14" s="1"/>
  <c r="J23" i="14" s="1"/>
  <c r="K23" i="14" s="1"/>
  <c r="L23" i="14" s="1"/>
  <c r="Y7" i="1"/>
  <c r="L10" i="11"/>
  <c r="E17" i="14"/>
  <c r="E7" i="1"/>
  <c r="D12" i="10"/>
  <c r="E16" i="10"/>
  <c r="E17" i="10"/>
  <c r="I32" i="8"/>
  <c r="J32" i="8"/>
  <c r="G32" i="8"/>
  <c r="K32" i="8"/>
  <c r="E32" i="8"/>
  <c r="F32" i="8"/>
  <c r="C32" i="8"/>
  <c r="H32" i="8"/>
  <c r="L32" i="8"/>
  <c r="C14" i="10"/>
  <c r="D15" i="10"/>
  <c r="J25" i="7"/>
  <c r="I25" i="7"/>
  <c r="H25" i="7"/>
  <c r="G25" i="7"/>
  <c r="F25" i="7"/>
  <c r="E25" i="7"/>
  <c r="D25" i="7"/>
  <c r="C25" i="7"/>
  <c r="B25" i="7"/>
  <c r="L9" i="14"/>
  <c r="L14" i="14" s="1"/>
  <c r="L4" i="14" s="1"/>
  <c r="K9" i="14"/>
  <c r="K14" i="14" s="1"/>
  <c r="K4" i="14" s="1"/>
  <c r="J9" i="14"/>
  <c r="J14" i="14" s="1"/>
  <c r="J4" i="14" s="1"/>
  <c r="I9" i="14"/>
  <c r="I14" i="14" s="1"/>
  <c r="I4" i="14" s="1"/>
  <c r="H9" i="14"/>
  <c r="H14" i="14" s="1"/>
  <c r="H4" i="14" s="1"/>
  <c r="G9" i="14"/>
  <c r="G14" i="14" s="1"/>
  <c r="G4" i="14" s="1"/>
  <c r="F9" i="14"/>
  <c r="F14" i="14" s="1"/>
  <c r="F4" i="14" s="1"/>
  <c r="E9" i="14"/>
  <c r="E14" i="14" s="1"/>
  <c r="E4" i="14" s="1"/>
  <c r="D5" i="2"/>
  <c r="C20" i="5"/>
  <c r="C61" i="5"/>
  <c r="D61" i="5" s="1"/>
  <c r="E61" i="5" s="1"/>
  <c r="F61" i="5" s="1"/>
  <c r="G61" i="5" s="1"/>
  <c r="H61" i="5" s="1"/>
  <c r="I61" i="5" s="1"/>
  <c r="J61" i="5" s="1"/>
  <c r="C60" i="5"/>
  <c r="D60" i="5" s="1"/>
  <c r="E60" i="5" s="1"/>
  <c r="F60" i="5" s="1"/>
  <c r="G60" i="5" s="1"/>
  <c r="H60" i="5" s="1"/>
  <c r="I60" i="5" s="1"/>
  <c r="J60" i="5" s="1"/>
  <c r="C58" i="5"/>
  <c r="D58" i="5" s="1"/>
  <c r="E58" i="5" s="1"/>
  <c r="F58" i="5" s="1"/>
  <c r="G58" i="5" s="1"/>
  <c r="H58" i="5" s="1"/>
  <c r="I58" i="5" s="1"/>
  <c r="J58" i="5" s="1"/>
  <c r="C57" i="5"/>
  <c r="D57" i="5" s="1"/>
  <c r="E57" i="5" s="1"/>
  <c r="F57" i="5" s="1"/>
  <c r="G57" i="5" s="1"/>
  <c r="H57" i="5" s="1"/>
  <c r="I57" i="5" s="1"/>
  <c r="J57" i="5" s="1"/>
  <c r="C56" i="5"/>
  <c r="D56" i="5" s="1"/>
  <c r="E56" i="5" s="1"/>
  <c r="F56" i="5" s="1"/>
  <c r="G56" i="5" s="1"/>
  <c r="H56" i="5" s="1"/>
  <c r="I56" i="5" s="1"/>
  <c r="J56" i="5" s="1"/>
  <c r="C55" i="5"/>
  <c r="D55" i="5" s="1"/>
  <c r="E55" i="5" s="1"/>
  <c r="F55" i="5" s="1"/>
  <c r="G55" i="5" s="1"/>
  <c r="H55" i="5" s="1"/>
  <c r="I55" i="5" s="1"/>
  <c r="J55" i="5" s="1"/>
  <c r="C52" i="5"/>
  <c r="D52" i="5" s="1"/>
  <c r="E52" i="5" s="1"/>
  <c r="F52" i="5" s="1"/>
  <c r="G52" i="5" s="1"/>
  <c r="H52" i="5" s="1"/>
  <c r="I52" i="5" s="1"/>
  <c r="J52" i="5" s="1"/>
  <c r="H48" i="5"/>
  <c r="I48" i="5" s="1"/>
  <c r="H50" i="5"/>
  <c r="C42" i="5"/>
  <c r="D42" i="5" s="1"/>
  <c r="E42" i="5" s="1"/>
  <c r="F42" i="5" s="1"/>
  <c r="G42" i="5" s="1"/>
  <c r="H42" i="5" s="1"/>
  <c r="I42" i="5" s="1"/>
  <c r="J42" i="5" s="1"/>
  <c r="C41" i="5"/>
  <c r="D41" i="5" s="1"/>
  <c r="E41" i="5" s="1"/>
  <c r="F41" i="5" s="1"/>
  <c r="G41" i="5" s="1"/>
  <c r="H41" i="5" s="1"/>
  <c r="I41" i="5" s="1"/>
  <c r="J41" i="5" s="1"/>
  <c r="D39" i="5"/>
  <c r="E39" i="5" s="1"/>
  <c r="F39" i="5" s="1"/>
  <c r="G39" i="5" s="1"/>
  <c r="H39" i="5" s="1"/>
  <c r="I39" i="5" s="1"/>
  <c r="J39" i="5" s="1"/>
  <c r="B35" i="5"/>
  <c r="B34" i="5"/>
  <c r="C31" i="5"/>
  <c r="D31" i="5" s="1"/>
  <c r="E31" i="5" s="1"/>
  <c r="F31" i="5" s="1"/>
  <c r="G31" i="5" s="1"/>
  <c r="H31" i="5" s="1"/>
  <c r="I31" i="5" s="1"/>
  <c r="B27" i="5"/>
  <c r="I26" i="5"/>
  <c r="E26" i="5"/>
  <c r="B26" i="5"/>
  <c r="J26" i="5"/>
  <c r="H25" i="5"/>
  <c r="F25" i="5"/>
  <c r="I25" i="5"/>
  <c r="G25" i="5"/>
  <c r="E25" i="5"/>
  <c r="D25" i="5"/>
  <c r="C25" i="5"/>
  <c r="B25" i="5"/>
  <c r="D23" i="5"/>
  <c r="E23" i="5" s="1"/>
  <c r="F23" i="5" s="1"/>
  <c r="G23" i="5" s="1"/>
  <c r="H23" i="5" s="1"/>
  <c r="B22" i="5"/>
  <c r="C38" i="5"/>
  <c r="D38" i="5" s="1"/>
  <c r="E38" i="5" s="1"/>
  <c r="F38" i="5" s="1"/>
  <c r="G38" i="5" s="1"/>
  <c r="H38" i="5" s="1"/>
  <c r="I38" i="5" s="1"/>
  <c r="J38" i="5" s="1"/>
  <c r="C33" i="5"/>
  <c r="D33" i="5" s="1"/>
  <c r="E33" i="5" s="1"/>
  <c r="F33" i="5" s="1"/>
  <c r="G33" i="5" s="1"/>
  <c r="H33" i="5" s="1"/>
  <c r="I33" i="5" s="1"/>
  <c r="J33" i="5" s="1"/>
  <c r="C32" i="5"/>
  <c r="D32" i="5" s="1"/>
  <c r="E32" i="5" s="1"/>
  <c r="F32" i="5" s="1"/>
  <c r="G32" i="5" s="1"/>
  <c r="H32" i="5" s="1"/>
  <c r="I32" i="5" s="1"/>
  <c r="J32" i="5" s="1"/>
  <c r="C30" i="5"/>
  <c r="D30" i="5" s="1"/>
  <c r="C19" i="5"/>
  <c r="D19" i="5" s="1"/>
  <c r="E19" i="5" s="1"/>
  <c r="F19" i="5" s="1"/>
  <c r="G19" i="5" s="1"/>
  <c r="H19" i="5" s="1"/>
  <c r="I19" i="5" s="1"/>
  <c r="J19" i="5" s="1"/>
  <c r="Z7" i="1" l="1"/>
  <c r="AJ7" i="1"/>
  <c r="L5" i="11"/>
  <c r="F15" i="8"/>
  <c r="F17" i="14"/>
  <c r="C41" i="1"/>
  <c r="AH41" i="1" s="1"/>
  <c r="D41" i="1"/>
  <c r="AI41" i="1" s="1"/>
  <c r="F7" i="1"/>
  <c r="I23" i="5"/>
  <c r="J23" i="5" s="1"/>
  <c r="J31" i="5"/>
  <c r="J35" i="5" s="1"/>
  <c r="I35" i="5"/>
  <c r="D24" i="5"/>
  <c r="C24" i="5"/>
  <c r="E12" i="10"/>
  <c r="F16" i="10"/>
  <c r="F17" i="10"/>
  <c r="C35" i="5"/>
  <c r="G32" i="14"/>
  <c r="E5" i="2"/>
  <c r="H32" i="14"/>
  <c r="F5" i="2"/>
  <c r="I32" i="14"/>
  <c r="G5" i="2"/>
  <c r="B7" i="2"/>
  <c r="K32" i="14"/>
  <c r="D32" i="14"/>
  <c r="B5" i="2"/>
  <c r="L32" i="14"/>
  <c r="J5" i="2"/>
  <c r="J32" i="14"/>
  <c r="H5" i="2"/>
  <c r="C8" i="2"/>
  <c r="E32" i="14"/>
  <c r="D8" i="2"/>
  <c r="F32" i="14"/>
  <c r="G29" i="5"/>
  <c r="I50" i="5"/>
  <c r="J48" i="5"/>
  <c r="H29" i="5"/>
  <c r="D29" i="5"/>
  <c r="E30" i="5"/>
  <c r="D34" i="5"/>
  <c r="C26" i="5"/>
  <c r="E29" i="5"/>
  <c r="I29" i="5"/>
  <c r="C22" i="5"/>
  <c r="D10" i="10"/>
  <c r="J25" i="5"/>
  <c r="K10" i="10"/>
  <c r="B29" i="5"/>
  <c r="F29" i="5"/>
  <c r="J29" i="5"/>
  <c r="C34" i="5"/>
  <c r="C29" i="5"/>
  <c r="E35" i="5"/>
  <c r="C59" i="5"/>
  <c r="C21" i="5"/>
  <c r="D20" i="5"/>
  <c r="D59" i="5" s="1"/>
  <c r="D14" i="10"/>
  <c r="E15" i="10"/>
  <c r="C11" i="3"/>
  <c r="D11" i="3" s="1"/>
  <c r="E11" i="3" s="1"/>
  <c r="F11" i="3" s="1"/>
  <c r="G11" i="3" s="1"/>
  <c r="H11" i="3" s="1"/>
  <c r="I11" i="3" s="1"/>
  <c r="J11" i="3" s="1"/>
  <c r="AA7" i="1" l="1"/>
  <c r="AK7" i="1"/>
  <c r="Y41" i="1"/>
  <c r="X41" i="1"/>
  <c r="G15" i="8"/>
  <c r="G17" i="14"/>
  <c r="J41" i="1"/>
  <c r="I41" i="1"/>
  <c r="AN41" i="1" s="1"/>
  <c r="G41" i="1"/>
  <c r="AL41" i="1" s="1"/>
  <c r="F41" i="1"/>
  <c r="AK41" i="1" s="1"/>
  <c r="E41" i="1"/>
  <c r="AJ41" i="1" s="1"/>
  <c r="H41" i="1"/>
  <c r="AM41" i="1" s="1"/>
  <c r="G7" i="1"/>
  <c r="D42" i="1"/>
  <c r="AI42" i="1" s="1"/>
  <c r="E5" i="10"/>
  <c r="C42" i="1"/>
  <c r="AH42" i="1" s="1"/>
  <c r="D5" i="10"/>
  <c r="F12" i="10"/>
  <c r="G16" i="10"/>
  <c r="G17" i="10"/>
  <c r="B41" i="1"/>
  <c r="B37" i="1"/>
  <c r="D38" i="1"/>
  <c r="D92" i="15"/>
  <c r="C38" i="1"/>
  <c r="C92" i="15"/>
  <c r="D16" i="1"/>
  <c r="C16" i="1"/>
  <c r="C17" i="1"/>
  <c r="C29" i="1"/>
  <c r="C19" i="1"/>
  <c r="C15" i="1"/>
  <c r="D19" i="1"/>
  <c r="D15" i="1"/>
  <c r="D17" i="1"/>
  <c r="C18" i="1"/>
  <c r="J50" i="5"/>
  <c r="D29" i="1"/>
  <c r="D22" i="5"/>
  <c r="E10" i="10"/>
  <c r="D35" i="5"/>
  <c r="D18" i="1" s="1"/>
  <c r="D26" i="5"/>
  <c r="F30" i="5"/>
  <c r="E34" i="5"/>
  <c r="E20" i="5"/>
  <c r="D21" i="5"/>
  <c r="F15" i="10"/>
  <c r="E14" i="10"/>
  <c r="AI19" i="1" l="1"/>
  <c r="Y19" i="1"/>
  <c r="Y38" i="1"/>
  <c r="AI38" i="1"/>
  <c r="AH19" i="1"/>
  <c r="X19" i="1"/>
  <c r="AE41" i="1"/>
  <c r="AO41" i="1"/>
  <c r="X38" i="1"/>
  <c r="AH38" i="1"/>
  <c r="AB7" i="1"/>
  <c r="AL7" i="1"/>
  <c r="W37" i="1"/>
  <c r="AG37" i="1"/>
  <c r="W41" i="1"/>
  <c r="AG41" i="1"/>
  <c r="AD41" i="1"/>
  <c r="AA41" i="1"/>
  <c r="AB41" i="1"/>
  <c r="AC41" i="1"/>
  <c r="Z41" i="1"/>
  <c r="H15" i="8"/>
  <c r="H17" i="14"/>
  <c r="E28" i="14"/>
  <c r="F28" i="14"/>
  <c r="H7" i="1"/>
  <c r="E24" i="5"/>
  <c r="H16" i="10"/>
  <c r="H17" i="10"/>
  <c r="G12" i="10"/>
  <c r="E22" i="5"/>
  <c r="E21" i="5"/>
  <c r="D100" i="15"/>
  <c r="D102" i="15" s="1"/>
  <c r="C100" i="15"/>
  <c r="C102" i="15" s="1"/>
  <c r="C14" i="1"/>
  <c r="D14" i="1"/>
  <c r="G30" i="5"/>
  <c r="F34" i="5"/>
  <c r="G10" i="10"/>
  <c r="F26" i="5"/>
  <c r="F35" i="5"/>
  <c r="F20" i="5"/>
  <c r="F22" i="5" s="1"/>
  <c r="E59" i="5"/>
  <c r="G15" i="10"/>
  <c r="F14" i="10"/>
  <c r="AI14" i="1" l="1"/>
  <c r="Y14" i="1"/>
  <c r="AH14" i="1"/>
  <c r="X14" i="1"/>
  <c r="AC7" i="1"/>
  <c r="AM7" i="1"/>
  <c r="I15" i="8"/>
  <c r="I17" i="14"/>
  <c r="I7" i="1"/>
  <c r="F26" i="14"/>
  <c r="E26" i="14"/>
  <c r="F24" i="5"/>
  <c r="I17" i="10"/>
  <c r="H12" i="10"/>
  <c r="I16" i="10"/>
  <c r="C103" i="15"/>
  <c r="D103" i="15"/>
  <c r="H30" i="5"/>
  <c r="G34" i="5"/>
  <c r="H10" i="10"/>
  <c r="G35" i="5"/>
  <c r="G26" i="5"/>
  <c r="G20" i="5"/>
  <c r="G22" i="5" s="1"/>
  <c r="F21" i="5"/>
  <c r="F59" i="5"/>
  <c r="H15" i="10"/>
  <c r="G14" i="10"/>
  <c r="AD7" i="1" l="1"/>
  <c r="AN7" i="1"/>
  <c r="J15" i="8"/>
  <c r="J17" i="14"/>
  <c r="J7" i="1"/>
  <c r="G24" i="5"/>
  <c r="I12" i="10"/>
  <c r="J16" i="10"/>
  <c r="J17" i="10"/>
  <c r="I10" i="10"/>
  <c r="H35" i="5"/>
  <c r="H26" i="5"/>
  <c r="I30" i="5"/>
  <c r="I34" i="5" s="1"/>
  <c r="H34" i="5"/>
  <c r="H20" i="5"/>
  <c r="H22" i="5" s="1"/>
  <c r="G21" i="5"/>
  <c r="G59" i="5"/>
  <c r="I15" i="10"/>
  <c r="H14" i="10"/>
  <c r="AE7" i="1" l="1"/>
  <c r="AO7" i="1"/>
  <c r="K15" i="8"/>
  <c r="K17" i="14"/>
  <c r="H24" i="5"/>
  <c r="K16" i="10"/>
  <c r="K17" i="10"/>
  <c r="J12" i="10"/>
  <c r="J30" i="5"/>
  <c r="J34" i="5" s="1"/>
  <c r="I20" i="5"/>
  <c r="I22" i="5" s="1"/>
  <c r="H21" i="5"/>
  <c r="H59" i="5"/>
  <c r="J15" i="10"/>
  <c r="I14" i="10"/>
  <c r="L15" i="8" l="1"/>
  <c r="L17" i="14"/>
  <c r="J24" i="5"/>
  <c r="I24" i="5"/>
  <c r="K12" i="10"/>
  <c r="J20" i="5"/>
  <c r="J22" i="5" s="1"/>
  <c r="I21" i="5"/>
  <c r="I59" i="5"/>
  <c r="K15" i="10"/>
  <c r="J14" i="10"/>
  <c r="K14" i="10" l="1"/>
  <c r="J59" i="5"/>
  <c r="J21" i="5"/>
  <c r="J4" i="3" l="1"/>
  <c r="I4" i="3"/>
  <c r="H4" i="3"/>
  <c r="G4" i="3"/>
  <c r="F4" i="3"/>
  <c r="E4" i="3"/>
  <c r="D4" i="3"/>
  <c r="C4" i="3"/>
  <c r="J5" i="3"/>
  <c r="J5" i="1" s="1"/>
  <c r="I5" i="3"/>
  <c r="I5" i="1" s="1"/>
  <c r="H5" i="3"/>
  <c r="H5" i="1" s="1"/>
  <c r="G5" i="3"/>
  <c r="G5" i="1" s="1"/>
  <c r="F5" i="3"/>
  <c r="F5" i="1" s="1"/>
  <c r="E5" i="3"/>
  <c r="E5" i="1" s="1"/>
  <c r="D5" i="3"/>
  <c r="D5" i="1" s="1"/>
  <c r="C5" i="3"/>
  <c r="C5" i="1" s="1"/>
  <c r="AH5" i="1" s="1"/>
  <c r="B5" i="3"/>
  <c r="B5" i="1" s="1"/>
  <c r="J12" i="3"/>
  <c r="J13" i="3" s="1"/>
  <c r="I12" i="3"/>
  <c r="I13" i="3" s="1"/>
  <c r="H12" i="3"/>
  <c r="H13" i="3" s="1"/>
  <c r="G12" i="3"/>
  <c r="G13" i="3" s="1"/>
  <c r="F12" i="3"/>
  <c r="F13" i="3" s="1"/>
  <c r="E12" i="3"/>
  <c r="E13" i="3" s="1"/>
  <c r="D12" i="3"/>
  <c r="D13" i="3" s="1"/>
  <c r="C12" i="3"/>
  <c r="C13" i="3" s="1"/>
  <c r="B12" i="3"/>
  <c r="B13" i="3" s="1"/>
  <c r="B6" i="1" s="1"/>
  <c r="J27" i="3"/>
  <c r="I27" i="3"/>
  <c r="H27" i="3"/>
  <c r="G27" i="3"/>
  <c r="F27" i="3"/>
  <c r="E27" i="3"/>
  <c r="D27" i="3"/>
  <c r="C27" i="3"/>
  <c r="B27" i="3"/>
  <c r="J32" i="3"/>
  <c r="I32" i="3"/>
  <c r="H32" i="3"/>
  <c r="G32" i="3"/>
  <c r="F32" i="3"/>
  <c r="E32" i="3"/>
  <c r="D32" i="3"/>
  <c r="C32" i="3"/>
  <c r="B32" i="3"/>
  <c r="J42" i="3"/>
  <c r="I42" i="3"/>
  <c r="H42" i="3"/>
  <c r="G42" i="3"/>
  <c r="F42" i="3"/>
  <c r="E42" i="3"/>
  <c r="D42" i="3"/>
  <c r="C42" i="3"/>
  <c r="B42" i="3"/>
  <c r="J40" i="3"/>
  <c r="I40" i="3"/>
  <c r="H40" i="3"/>
  <c r="G40" i="3"/>
  <c r="F40" i="3"/>
  <c r="E40" i="3"/>
  <c r="D40" i="3"/>
  <c r="C40" i="3"/>
  <c r="B40" i="3"/>
  <c r="J49" i="3"/>
  <c r="I49" i="3"/>
  <c r="H49" i="3"/>
  <c r="G49" i="3"/>
  <c r="F49" i="3"/>
  <c r="E49" i="3"/>
  <c r="D49" i="3"/>
  <c r="C49" i="3"/>
  <c r="B49" i="3"/>
  <c r="J7" i="2"/>
  <c r="I7" i="2"/>
  <c r="H7" i="2"/>
  <c r="G7" i="2"/>
  <c r="F7" i="2"/>
  <c r="E7" i="2"/>
  <c r="D7" i="2"/>
  <c r="C7" i="2"/>
  <c r="J6" i="2"/>
  <c r="J19" i="2" s="1"/>
  <c r="I6" i="2"/>
  <c r="I19" i="2" s="1"/>
  <c r="H6" i="2"/>
  <c r="H19" i="2" s="1"/>
  <c r="F6" i="2"/>
  <c r="F19" i="2" s="1"/>
  <c r="E6" i="2"/>
  <c r="E19" i="2" s="1"/>
  <c r="D6" i="2"/>
  <c r="D19" i="2" s="1"/>
  <c r="C6" i="2"/>
  <c r="C19" i="2" s="1"/>
  <c r="J4" i="2"/>
  <c r="I4" i="2"/>
  <c r="H4" i="2"/>
  <c r="G4" i="2"/>
  <c r="F4" i="2"/>
  <c r="E4" i="2"/>
  <c r="B4" i="2"/>
  <c r="Z5" i="1" l="1"/>
  <c r="AJ5" i="1"/>
  <c r="AB5" i="1"/>
  <c r="AL5" i="1"/>
  <c r="W6" i="1"/>
  <c r="AG6" i="1"/>
  <c r="AE5" i="1"/>
  <c r="AO5" i="1"/>
  <c r="W5" i="1"/>
  <c r="AG5" i="1"/>
  <c r="Y5" i="1"/>
  <c r="AI5" i="1"/>
  <c r="AA5" i="1"/>
  <c r="AK5" i="1"/>
  <c r="AC5" i="1"/>
  <c r="AM5" i="1"/>
  <c r="AD5" i="1"/>
  <c r="AN5" i="1"/>
  <c r="E20" i="14"/>
  <c r="X5" i="1"/>
  <c r="D20" i="14"/>
  <c r="F20" i="14" s="1"/>
  <c r="G20" i="14" s="1"/>
  <c r="H20" i="14" s="1"/>
  <c r="I20" i="14" s="1"/>
  <c r="J20" i="14" s="1"/>
  <c r="K20" i="14" s="1"/>
  <c r="L20" i="14" s="1"/>
  <c r="D35" i="3"/>
  <c r="D34" i="3"/>
  <c r="D33" i="3"/>
  <c r="D36" i="3"/>
  <c r="H35" i="3"/>
  <c r="H33" i="3"/>
  <c r="H36" i="3"/>
  <c r="H34" i="3"/>
  <c r="E34" i="3"/>
  <c r="E36" i="3"/>
  <c r="E33" i="3"/>
  <c r="E35" i="3"/>
  <c r="I34" i="3"/>
  <c r="I35" i="3"/>
  <c r="I33" i="3"/>
  <c r="I36" i="3"/>
  <c r="F33" i="3"/>
  <c r="F35" i="3"/>
  <c r="F36" i="3"/>
  <c r="F34" i="3"/>
  <c r="J33" i="3"/>
  <c r="J34" i="3"/>
  <c r="J36" i="3"/>
  <c r="J35" i="3"/>
  <c r="C36" i="3"/>
  <c r="C35" i="3"/>
  <c r="C34" i="3"/>
  <c r="C33" i="3"/>
  <c r="H42" i="15"/>
  <c r="H41" i="15"/>
  <c r="H40" i="15"/>
  <c r="H39" i="15"/>
  <c r="H35" i="15"/>
  <c r="H34" i="15"/>
  <c r="H29" i="15"/>
  <c r="H28" i="15"/>
  <c r="H33" i="15"/>
  <c r="H30" i="15"/>
  <c r="H36" i="15"/>
  <c r="H43" i="15"/>
  <c r="H26" i="15"/>
  <c r="H37" i="1" s="1"/>
  <c r="E29" i="15"/>
  <c r="E28" i="15"/>
  <c r="E35" i="15"/>
  <c r="E34" i="15"/>
  <c r="E33" i="15"/>
  <c r="E43" i="15"/>
  <c r="E26" i="15"/>
  <c r="E37" i="1" s="1"/>
  <c r="E30" i="15"/>
  <c r="E42" i="15"/>
  <c r="E41" i="15"/>
  <c r="E40" i="15"/>
  <c r="E39" i="15"/>
  <c r="E36" i="15"/>
  <c r="F42" i="15"/>
  <c r="F41" i="15"/>
  <c r="F40" i="15"/>
  <c r="F39" i="15"/>
  <c r="F29" i="15"/>
  <c r="F35" i="15"/>
  <c r="F34" i="15"/>
  <c r="F33" i="15"/>
  <c r="F28" i="15"/>
  <c r="F43" i="15"/>
  <c r="F30" i="15"/>
  <c r="F36" i="15"/>
  <c r="F26" i="15"/>
  <c r="F37" i="1" s="1"/>
  <c r="J42" i="15"/>
  <c r="J40" i="15"/>
  <c r="J39" i="15"/>
  <c r="J35" i="15"/>
  <c r="J34" i="15"/>
  <c r="J33" i="15"/>
  <c r="J41" i="15"/>
  <c r="J29" i="15"/>
  <c r="J28" i="15"/>
  <c r="J30" i="15"/>
  <c r="J36" i="15"/>
  <c r="J43" i="15"/>
  <c r="J26" i="15"/>
  <c r="J37" i="1" s="1"/>
  <c r="D43" i="15"/>
  <c r="D42" i="15"/>
  <c r="D41" i="15"/>
  <c r="D40" i="15"/>
  <c r="D39" i="15"/>
  <c r="D34" i="15"/>
  <c r="D33" i="15"/>
  <c r="D29" i="15"/>
  <c r="D28" i="15"/>
  <c r="D35" i="15"/>
  <c r="D26" i="15"/>
  <c r="D37" i="1" s="1"/>
  <c r="D36" i="15"/>
  <c r="D30" i="15"/>
  <c r="I29" i="15"/>
  <c r="I28" i="15"/>
  <c r="I36" i="15"/>
  <c r="I35" i="15"/>
  <c r="I34" i="15"/>
  <c r="I41" i="15"/>
  <c r="I40" i="15"/>
  <c r="I39" i="15"/>
  <c r="I33" i="15"/>
  <c r="I42" i="15"/>
  <c r="I30" i="15"/>
  <c r="I43" i="15"/>
  <c r="I26" i="15"/>
  <c r="I37" i="1" s="1"/>
  <c r="C36" i="15"/>
  <c r="C35" i="15"/>
  <c r="C34" i="15"/>
  <c r="C33" i="15"/>
  <c r="C26" i="15"/>
  <c r="C37" i="1" s="1"/>
  <c r="C30" i="15"/>
  <c r="C29" i="15"/>
  <c r="C28" i="15"/>
  <c r="C43" i="15"/>
  <c r="C42" i="15"/>
  <c r="C41" i="15"/>
  <c r="C40" i="15"/>
  <c r="C39" i="15"/>
  <c r="B16" i="2"/>
  <c r="D21" i="14"/>
  <c r="F16" i="2"/>
  <c r="J16" i="2"/>
  <c r="C16" i="2"/>
  <c r="G16" i="2"/>
  <c r="D16" i="2"/>
  <c r="H16" i="2"/>
  <c r="E16" i="2"/>
  <c r="I16" i="2"/>
  <c r="AA37" i="1" l="1"/>
  <c r="AK37" i="1"/>
  <c r="AE37" i="1"/>
  <c r="AO37" i="1"/>
  <c r="AD37" i="1"/>
  <c r="AN37" i="1"/>
  <c r="Z37" i="1"/>
  <c r="AJ37" i="1"/>
  <c r="X37" i="1"/>
  <c r="AH37" i="1"/>
  <c r="Y37" i="1"/>
  <c r="AI37" i="1"/>
  <c r="AC37" i="1"/>
  <c r="AM37" i="1"/>
  <c r="D6" i="1"/>
  <c r="AI6" i="1" s="1"/>
  <c r="I31" i="15"/>
  <c r="C36" i="1"/>
  <c r="J31" i="15"/>
  <c r="E31" i="15"/>
  <c r="H37" i="15"/>
  <c r="F44" i="15"/>
  <c r="H44" i="15"/>
  <c r="C44" i="15"/>
  <c r="J44" i="15"/>
  <c r="C31" i="15"/>
  <c r="C37" i="15"/>
  <c r="I37" i="15"/>
  <c r="F37" i="15"/>
  <c r="E37" i="15"/>
  <c r="H31" i="15"/>
  <c r="D37" i="15"/>
  <c r="I44" i="15"/>
  <c r="D31" i="15"/>
  <c r="D44" i="15"/>
  <c r="J37" i="15"/>
  <c r="F31" i="15"/>
  <c r="E44" i="15"/>
  <c r="F21" i="14" l="1"/>
  <c r="Y6" i="1"/>
  <c r="E6" i="1"/>
  <c r="AJ6" i="1" s="1"/>
  <c r="H45" i="15"/>
  <c r="D45" i="15"/>
  <c r="F45" i="15"/>
  <c r="E45" i="15"/>
  <c r="I45" i="15"/>
  <c r="J45" i="15"/>
  <c r="C45" i="15"/>
  <c r="D6" i="8"/>
  <c r="J8" i="2"/>
  <c r="K5" i="10" s="1"/>
  <c r="I8" i="2"/>
  <c r="J5" i="10" s="1"/>
  <c r="H8" i="2"/>
  <c r="I5" i="10" s="1"/>
  <c r="F8" i="2"/>
  <c r="E8" i="2"/>
  <c r="D10" i="2"/>
  <c r="C10" i="2"/>
  <c r="B8" i="2"/>
  <c r="F7" i="8"/>
  <c r="G7" i="8" s="1"/>
  <c r="H7" i="8" s="1"/>
  <c r="I7" i="8" s="1"/>
  <c r="J7" i="8" s="1"/>
  <c r="K7" i="8" s="1"/>
  <c r="L7" i="8" s="1"/>
  <c r="F17" i="8"/>
  <c r="G17" i="8" s="1"/>
  <c r="H17" i="8" s="1"/>
  <c r="I17" i="8" s="1"/>
  <c r="J17" i="8" s="1"/>
  <c r="K17" i="8" s="1"/>
  <c r="L17" i="8" s="1"/>
  <c r="G21" i="14" l="1"/>
  <c r="Z6" i="1"/>
  <c r="D10" i="8"/>
  <c r="D12" i="8" s="1"/>
  <c r="D18" i="8" s="1"/>
  <c r="E6" i="8"/>
  <c r="E10" i="8" s="1"/>
  <c r="F6" i="1"/>
  <c r="AK6" i="1" s="1"/>
  <c r="F42" i="1"/>
  <c r="AK42" i="1" s="1"/>
  <c r="G5" i="10"/>
  <c r="E42" i="1"/>
  <c r="AJ42" i="1" s="1"/>
  <c r="F5" i="10"/>
  <c r="B42" i="1"/>
  <c r="AG42" i="1" s="1"/>
  <c r="C5" i="10"/>
  <c r="F14" i="8"/>
  <c r="G14" i="8" s="1"/>
  <c r="H14" i="8" s="1"/>
  <c r="I14" i="8" s="1"/>
  <c r="J14" i="8" s="1"/>
  <c r="K14" i="8" s="1"/>
  <c r="L14" i="8" s="1"/>
  <c r="H92" i="15"/>
  <c r="H100" i="15" s="1"/>
  <c r="I92" i="15"/>
  <c r="I100" i="15" s="1"/>
  <c r="B38" i="1"/>
  <c r="B92" i="15"/>
  <c r="J92" i="15"/>
  <c r="J100" i="15" s="1"/>
  <c r="E38" i="1"/>
  <c r="E92" i="15"/>
  <c r="E100" i="15" s="1"/>
  <c r="F38" i="1"/>
  <c r="F92" i="15"/>
  <c r="F100" i="15" s="1"/>
  <c r="H38" i="1"/>
  <c r="H29" i="1"/>
  <c r="H42" i="1"/>
  <c r="I38" i="1"/>
  <c r="I29" i="1"/>
  <c r="I42" i="1"/>
  <c r="J38" i="1"/>
  <c r="J29" i="1"/>
  <c r="J42" i="1"/>
  <c r="H19" i="1"/>
  <c r="H15" i="1"/>
  <c r="H16" i="1"/>
  <c r="H17" i="1"/>
  <c r="H18" i="1"/>
  <c r="B29" i="1"/>
  <c r="B19" i="1"/>
  <c r="B17" i="1"/>
  <c r="B18" i="1"/>
  <c r="B15" i="1"/>
  <c r="B16" i="1"/>
  <c r="F10" i="2"/>
  <c r="F12" i="1" s="1"/>
  <c r="F19" i="1"/>
  <c r="F15" i="1"/>
  <c r="F16" i="1"/>
  <c r="F29" i="1"/>
  <c r="F18" i="1"/>
  <c r="F17" i="1"/>
  <c r="J19" i="1"/>
  <c r="J15" i="1"/>
  <c r="J18" i="1"/>
  <c r="J16" i="1"/>
  <c r="J17" i="1"/>
  <c r="E29" i="1"/>
  <c r="E19" i="1"/>
  <c r="E15" i="1"/>
  <c r="E18" i="1"/>
  <c r="E16" i="1"/>
  <c r="E17" i="1"/>
  <c r="I19" i="1"/>
  <c r="I15" i="1"/>
  <c r="I16" i="1"/>
  <c r="I18" i="1"/>
  <c r="I17" i="1"/>
  <c r="D9" i="1"/>
  <c r="D10" i="1"/>
  <c r="D13" i="1"/>
  <c r="D12" i="1"/>
  <c r="C13" i="1"/>
  <c r="C10" i="1"/>
  <c r="C9" i="1"/>
  <c r="C12" i="1"/>
  <c r="F4" i="8"/>
  <c r="J10" i="2"/>
  <c r="H10" i="2"/>
  <c r="I10" i="2"/>
  <c r="E10" i="2"/>
  <c r="B10" i="2"/>
  <c r="AE42" i="1" l="1"/>
  <c r="AO42" i="1"/>
  <c r="AE38" i="1"/>
  <c r="AO38" i="1"/>
  <c r="W38" i="1"/>
  <c r="AG38" i="1"/>
  <c r="AK19" i="1"/>
  <c r="AA19" i="1"/>
  <c r="AD42" i="1"/>
  <c r="AN42" i="1"/>
  <c r="AG19" i="1"/>
  <c r="W19" i="1"/>
  <c r="AC38" i="1"/>
  <c r="AM38" i="1"/>
  <c r="AO19" i="1"/>
  <c r="AE19" i="1"/>
  <c r="Z38" i="1"/>
  <c r="AJ38" i="1"/>
  <c r="AN19" i="1"/>
  <c r="AD19" i="1"/>
  <c r="AJ19" i="1"/>
  <c r="Z19" i="1"/>
  <c r="AD38" i="1"/>
  <c r="AN38" i="1"/>
  <c r="AC42" i="1"/>
  <c r="AM42" i="1"/>
  <c r="AA38" i="1"/>
  <c r="AK38" i="1"/>
  <c r="AM19" i="1"/>
  <c r="AC19" i="1"/>
  <c r="H21" i="14"/>
  <c r="I21" i="14" s="1"/>
  <c r="J21" i="14" s="1"/>
  <c r="K21" i="14" s="1"/>
  <c r="L21" i="14" s="1"/>
  <c r="AA6" i="1"/>
  <c r="J28" i="14"/>
  <c r="D28" i="14"/>
  <c r="H28" i="14"/>
  <c r="G28" i="14"/>
  <c r="G6" i="1"/>
  <c r="L28" i="14"/>
  <c r="K28" i="14"/>
  <c r="B100" i="15"/>
  <c r="E102" i="15"/>
  <c r="J102" i="15"/>
  <c r="I102" i="15"/>
  <c r="F102" i="15"/>
  <c r="H102" i="15"/>
  <c r="F13" i="1"/>
  <c r="F10" i="1"/>
  <c r="F25" i="14"/>
  <c r="D34" i="1"/>
  <c r="D35" i="1"/>
  <c r="D39" i="1"/>
  <c r="D33" i="1"/>
  <c r="D36" i="1"/>
  <c r="D31" i="1"/>
  <c r="H35" i="1"/>
  <c r="H30" i="1"/>
  <c r="H34" i="1"/>
  <c r="H33" i="1"/>
  <c r="H39" i="1"/>
  <c r="H31" i="1"/>
  <c r="H36" i="1"/>
  <c r="H27" i="1"/>
  <c r="H28" i="1"/>
  <c r="J25" i="14"/>
  <c r="H25" i="14"/>
  <c r="F33" i="1"/>
  <c r="F35" i="1"/>
  <c r="F34" i="1"/>
  <c r="F39" i="1"/>
  <c r="F36" i="1"/>
  <c r="F31" i="1"/>
  <c r="I30" i="1"/>
  <c r="I35" i="1"/>
  <c r="I39" i="1"/>
  <c r="I34" i="1"/>
  <c r="I33" i="1"/>
  <c r="I27" i="1"/>
  <c r="I36" i="1"/>
  <c r="I28" i="1"/>
  <c r="I31" i="1"/>
  <c r="K25" i="14"/>
  <c r="E25" i="14"/>
  <c r="C34" i="1"/>
  <c r="C39" i="1"/>
  <c r="C35" i="1"/>
  <c r="C33" i="1"/>
  <c r="C31" i="1"/>
  <c r="I25" i="14"/>
  <c r="J30" i="1"/>
  <c r="J35" i="1"/>
  <c r="J39" i="1"/>
  <c r="J33" i="1"/>
  <c r="J34" i="1"/>
  <c r="J28" i="1"/>
  <c r="J31" i="1"/>
  <c r="J36" i="1"/>
  <c r="J27" i="1"/>
  <c r="L25" i="14"/>
  <c r="D25" i="14"/>
  <c r="B33" i="1"/>
  <c r="B34" i="1"/>
  <c r="B39" i="1"/>
  <c r="B35" i="1"/>
  <c r="B36" i="1"/>
  <c r="B31" i="1"/>
  <c r="G25" i="14"/>
  <c r="E39" i="1"/>
  <c r="E33" i="1"/>
  <c r="E35" i="1"/>
  <c r="E34" i="1"/>
  <c r="E31" i="1"/>
  <c r="E36" i="1"/>
  <c r="F9" i="1"/>
  <c r="F14" i="1"/>
  <c r="B14" i="1"/>
  <c r="E14" i="1"/>
  <c r="I14" i="1"/>
  <c r="C30" i="1"/>
  <c r="C28" i="1"/>
  <c r="C27" i="1"/>
  <c r="E30" i="1"/>
  <c r="E28" i="1"/>
  <c r="E27" i="1"/>
  <c r="J14" i="1"/>
  <c r="H14" i="1"/>
  <c r="D28" i="1"/>
  <c r="D27" i="1"/>
  <c r="D30" i="1"/>
  <c r="F30" i="1"/>
  <c r="F28" i="1"/>
  <c r="F27" i="1"/>
  <c r="B30" i="1"/>
  <c r="B28" i="1"/>
  <c r="B27" i="1"/>
  <c r="E10" i="1"/>
  <c r="E9" i="1"/>
  <c r="E13" i="1"/>
  <c r="E12" i="1"/>
  <c r="H9" i="1"/>
  <c r="H10" i="1"/>
  <c r="H13" i="1"/>
  <c r="H12" i="1"/>
  <c r="I10" i="1"/>
  <c r="I9" i="1"/>
  <c r="I13" i="1"/>
  <c r="I12" i="1"/>
  <c r="J10" i="1"/>
  <c r="J9" i="1"/>
  <c r="J13" i="1"/>
  <c r="J12" i="1"/>
  <c r="B10" i="1"/>
  <c r="B9" i="1"/>
  <c r="B12" i="1"/>
  <c r="B13" i="1"/>
  <c r="C11" i="1"/>
  <c r="D11" i="1"/>
  <c r="D8" i="1"/>
  <c r="AI8" i="1" s="1"/>
  <c r="C8" i="1"/>
  <c r="G4" i="8"/>
  <c r="J13" i="2"/>
  <c r="J14" i="2"/>
  <c r="J52" i="1" s="1"/>
  <c r="G13" i="2"/>
  <c r="G14" i="2"/>
  <c r="G52" i="1" s="1"/>
  <c r="H13" i="2"/>
  <c r="H14" i="2"/>
  <c r="H52" i="1" s="1"/>
  <c r="I13" i="2"/>
  <c r="I14" i="2"/>
  <c r="I52" i="1" s="1"/>
  <c r="F13" i="2"/>
  <c r="F14" i="2"/>
  <c r="F52" i="1" s="1"/>
  <c r="AK52" i="1" s="1"/>
  <c r="E14" i="2"/>
  <c r="E52" i="1" s="1"/>
  <c r="AJ52" i="1" s="1"/>
  <c r="E13" i="2"/>
  <c r="D13" i="2"/>
  <c r="D14" i="2"/>
  <c r="D52" i="1" s="1"/>
  <c r="AI52" i="1" s="1"/>
  <c r="C13" i="2"/>
  <c r="C14" i="2"/>
  <c r="C52" i="1" s="1"/>
  <c r="AH52" i="1" s="1"/>
  <c r="B13" i="2"/>
  <c r="B48" i="1" s="1"/>
  <c r="B14" i="2"/>
  <c r="B52" i="1" s="1"/>
  <c r="AH8" i="1" l="1"/>
  <c r="AA39" i="1"/>
  <c r="AK39" i="1"/>
  <c r="X39" i="1"/>
  <c r="AH39" i="1"/>
  <c r="AE52" i="1"/>
  <c r="AO52" i="1"/>
  <c r="AM14" i="1"/>
  <c r="AC14" i="1"/>
  <c r="AI11" i="1"/>
  <c r="Y11" i="1"/>
  <c r="AO14" i="1"/>
  <c r="AE14" i="1"/>
  <c r="Z39" i="1"/>
  <c r="AJ39" i="1"/>
  <c r="AC39" i="1"/>
  <c r="AM39" i="1"/>
  <c r="AD39" i="1"/>
  <c r="AN39" i="1"/>
  <c r="W31" i="1"/>
  <c r="AG31" i="1"/>
  <c r="W39" i="1"/>
  <c r="AG39" i="1"/>
  <c r="Y31" i="1"/>
  <c r="AI31" i="1"/>
  <c r="AC52" i="1"/>
  <c r="AM52" i="1"/>
  <c r="AB52" i="1"/>
  <c r="AL52" i="1"/>
  <c r="AE31" i="1"/>
  <c r="AO31" i="1"/>
  <c r="AC31" i="1"/>
  <c r="AM31" i="1"/>
  <c r="AH11" i="1"/>
  <c r="X11" i="1"/>
  <c r="AE39" i="1"/>
  <c r="AO39" i="1"/>
  <c r="AN14" i="1"/>
  <c r="AD14" i="1"/>
  <c r="AJ14" i="1"/>
  <c r="Z14" i="1"/>
  <c r="AB6" i="1"/>
  <c r="AL6" i="1"/>
  <c r="AG14" i="1"/>
  <c r="W14" i="1"/>
  <c r="Y39" i="1"/>
  <c r="AI39" i="1"/>
  <c r="AK14" i="1"/>
  <c r="AA14" i="1"/>
  <c r="W52" i="1"/>
  <c r="AG52" i="1"/>
  <c r="W48" i="1"/>
  <c r="AG48" i="1"/>
  <c r="AD31" i="1"/>
  <c r="AN31" i="1"/>
  <c r="Z31" i="1"/>
  <c r="AJ31" i="1"/>
  <c r="AD52" i="1"/>
  <c r="AN52" i="1"/>
  <c r="X31" i="1"/>
  <c r="AH31" i="1"/>
  <c r="AA31" i="1"/>
  <c r="AK31" i="1"/>
  <c r="Z52" i="1"/>
  <c r="AA52" i="1"/>
  <c r="X52" i="1"/>
  <c r="X8" i="1"/>
  <c r="Y52" i="1"/>
  <c r="Y8" i="1"/>
  <c r="K5" i="11"/>
  <c r="F5" i="11"/>
  <c r="C5" i="11"/>
  <c r="D5" i="11"/>
  <c r="E5" i="11"/>
  <c r="G5" i="11"/>
  <c r="J5" i="11"/>
  <c r="I5" i="11"/>
  <c r="H5" i="11"/>
  <c r="J29" i="14"/>
  <c r="G29" i="14"/>
  <c r="D30" i="14"/>
  <c r="D29" i="14"/>
  <c r="H6" i="1"/>
  <c r="F30" i="14"/>
  <c r="E22" i="14"/>
  <c r="E30" i="14"/>
  <c r="E29" i="14"/>
  <c r="G26" i="14"/>
  <c r="H30" i="14"/>
  <c r="D26" i="14"/>
  <c r="H26" i="14"/>
  <c r="F22" i="14"/>
  <c r="J26" i="14"/>
  <c r="F11" i="1"/>
  <c r="H29" i="14"/>
  <c r="F29" i="14"/>
  <c r="J30" i="14"/>
  <c r="G30" i="14"/>
  <c r="L30" i="14"/>
  <c r="L26" i="14"/>
  <c r="L29" i="14"/>
  <c r="K26" i="14"/>
  <c r="K30" i="14"/>
  <c r="K29" i="14"/>
  <c r="F31" i="14"/>
  <c r="E31" i="14"/>
  <c r="F103" i="15"/>
  <c r="E103" i="15"/>
  <c r="I103" i="15"/>
  <c r="J103" i="15"/>
  <c r="H103" i="15"/>
  <c r="F8" i="1"/>
  <c r="E11" i="8"/>
  <c r="C48" i="1" s="1"/>
  <c r="B102" i="15"/>
  <c r="J26" i="1"/>
  <c r="F32" i="1"/>
  <c r="AK32" i="1" s="1"/>
  <c r="I32" i="1"/>
  <c r="AN32" i="1" s="1"/>
  <c r="J32" i="1"/>
  <c r="C32" i="1"/>
  <c r="AH32" i="1" s="1"/>
  <c r="E32" i="1"/>
  <c r="AJ32" i="1" s="1"/>
  <c r="H32" i="1"/>
  <c r="AM32" i="1" s="1"/>
  <c r="D32" i="1"/>
  <c r="AI32" i="1" s="1"/>
  <c r="F6" i="8"/>
  <c r="I26" i="1"/>
  <c r="B8" i="1"/>
  <c r="J8" i="1"/>
  <c r="H11" i="1"/>
  <c r="C26" i="1"/>
  <c r="I8" i="1"/>
  <c r="E11" i="1"/>
  <c r="H26" i="1"/>
  <c r="J11" i="1"/>
  <c r="H8" i="1"/>
  <c r="B26" i="1"/>
  <c r="F26" i="1"/>
  <c r="D26" i="1"/>
  <c r="E26" i="1"/>
  <c r="I11" i="1"/>
  <c r="E8" i="1"/>
  <c r="B11" i="1"/>
  <c r="G25" i="8"/>
  <c r="F4" i="10"/>
  <c r="C25" i="8"/>
  <c r="C4" i="10"/>
  <c r="L25" i="8"/>
  <c r="K4" i="10"/>
  <c r="F25" i="8"/>
  <c r="E4" i="10"/>
  <c r="H25" i="8"/>
  <c r="G4" i="10"/>
  <c r="J25" i="8"/>
  <c r="I4" i="10"/>
  <c r="E25" i="8"/>
  <c r="D4" i="10"/>
  <c r="K25" i="8"/>
  <c r="J4" i="10"/>
  <c r="I25" i="8"/>
  <c r="H4" i="10"/>
  <c r="H4" i="8"/>
  <c r="AO11" i="1" l="1"/>
  <c r="AE11" i="1"/>
  <c r="AM26" i="1"/>
  <c r="AC26" i="1"/>
  <c r="AJ11" i="1"/>
  <c r="Z11" i="1"/>
  <c r="AN11" i="1"/>
  <c r="AD11" i="1"/>
  <c r="AJ26" i="1"/>
  <c r="Z26" i="1"/>
  <c r="AO26" i="1"/>
  <c r="AE26" i="1"/>
  <c r="AK11" i="1"/>
  <c r="AA11" i="1"/>
  <c r="X48" i="1"/>
  <c r="AH48" i="1"/>
  <c r="AM11" i="1"/>
  <c r="AC11" i="1"/>
  <c r="AE8" i="1"/>
  <c r="AO8" i="1"/>
  <c r="AC6" i="1"/>
  <c r="AM6" i="1"/>
  <c r="Z8" i="1"/>
  <c r="AJ8" i="1"/>
  <c r="AG26" i="1"/>
  <c r="W26" i="1"/>
  <c r="AE32" i="1"/>
  <c r="AO32" i="1"/>
  <c r="AD8" i="1"/>
  <c r="AN8" i="1"/>
  <c r="AH26" i="1"/>
  <c r="X26" i="1"/>
  <c r="AA8" i="1"/>
  <c r="AK8" i="1"/>
  <c r="W8" i="1"/>
  <c r="AG8" i="1"/>
  <c r="AG11" i="1"/>
  <c r="W11" i="1"/>
  <c r="AN26" i="1"/>
  <c r="AD26" i="1"/>
  <c r="AI26" i="1"/>
  <c r="Y26" i="1"/>
  <c r="AK26" i="1"/>
  <c r="AA26" i="1"/>
  <c r="AC8" i="1"/>
  <c r="AM8" i="1"/>
  <c r="AD32" i="1"/>
  <c r="Y32" i="1"/>
  <c r="AC32" i="1"/>
  <c r="Z32" i="1"/>
  <c r="X32" i="1"/>
  <c r="AA32" i="1"/>
  <c r="B103" i="15"/>
  <c r="H22" i="14"/>
  <c r="D22" i="14"/>
  <c r="G22" i="14"/>
  <c r="I6" i="1"/>
  <c r="H31" i="14"/>
  <c r="J22" i="14"/>
  <c r="L22" i="14"/>
  <c r="K22" i="14"/>
  <c r="L31" i="14"/>
  <c r="G31" i="14"/>
  <c r="D31" i="14"/>
  <c r="J31" i="14"/>
  <c r="K31" i="14"/>
  <c r="E12" i="8"/>
  <c r="F10" i="8"/>
  <c r="F11" i="8" s="1"/>
  <c r="D48" i="1" s="1"/>
  <c r="G6" i="8"/>
  <c r="I4" i="8"/>
  <c r="Y48" i="1" l="1"/>
  <c r="AI48" i="1"/>
  <c r="AD6" i="1"/>
  <c r="AN6" i="1"/>
  <c r="J6" i="1"/>
  <c r="F12" i="8"/>
  <c r="G10" i="8"/>
  <c r="H6" i="8"/>
  <c r="J4" i="8"/>
  <c r="J32" i="7"/>
  <c r="I32" i="7"/>
  <c r="H32" i="7"/>
  <c r="F32" i="7"/>
  <c r="E32" i="7"/>
  <c r="D32" i="7"/>
  <c r="C32" i="7"/>
  <c r="B32" i="7"/>
  <c r="AE6" i="1" l="1"/>
  <c r="AO6" i="1"/>
  <c r="G11" i="8"/>
  <c r="E48" i="1" s="1"/>
  <c r="H10" i="8"/>
  <c r="H11" i="8" s="1"/>
  <c r="F48" i="1" s="1"/>
  <c r="I6" i="8"/>
  <c r="K4" i="8"/>
  <c r="L12" i="11"/>
  <c r="AA48" i="1" l="1"/>
  <c r="AK48" i="1"/>
  <c r="Z48" i="1"/>
  <c r="AJ48" i="1"/>
  <c r="L11" i="11"/>
  <c r="H12" i="8"/>
  <c r="G12" i="8"/>
  <c r="I10" i="8"/>
  <c r="I11" i="8" s="1"/>
  <c r="G48" i="1" s="1"/>
  <c r="AL48" i="1" s="1"/>
  <c r="J6" i="8"/>
  <c r="L4" i="8"/>
  <c r="AB48" i="1" l="1"/>
  <c r="I12" i="8"/>
  <c r="J10" i="8"/>
  <c r="J11" i="8" s="1"/>
  <c r="H48" i="1" s="1"/>
  <c r="K6" i="8"/>
  <c r="AC48" i="1" l="1"/>
  <c r="AM48" i="1"/>
  <c r="J12" i="8"/>
  <c r="K10" i="8"/>
  <c r="K11" i="8" s="1"/>
  <c r="I48" i="1" s="1"/>
  <c r="L6" i="8"/>
  <c r="AD48" i="1" l="1"/>
  <c r="AN48" i="1"/>
  <c r="K12" i="8"/>
  <c r="L10" i="8"/>
  <c r="L11" i="8" l="1"/>
  <c r="J48" i="1" s="1"/>
  <c r="B32" i="1"/>
  <c r="W32" i="1" l="1"/>
  <c r="AG32" i="1"/>
  <c r="AE48" i="1"/>
  <c r="AO48" i="1"/>
  <c r="C5" i="5"/>
  <c r="L12" i="8"/>
  <c r="L13" i="8" s="1"/>
  <c r="E18" i="8"/>
  <c r="G13" i="8"/>
  <c r="K13" i="8"/>
  <c r="H13" i="8"/>
  <c r="E13" i="8"/>
  <c r="I13" i="8"/>
  <c r="F13" i="8"/>
  <c r="J13" i="8"/>
  <c r="K18" i="8" l="1"/>
  <c r="J18" i="8"/>
  <c r="H18" i="8"/>
  <c r="L18" i="8"/>
  <c r="D20" i="8"/>
  <c r="E15" i="14" s="1"/>
  <c r="I18" i="8"/>
  <c r="G18" i="8"/>
  <c r="C13" i="10"/>
  <c r="F18" i="8"/>
  <c r="D13" i="10" l="1"/>
  <c r="G19" i="8"/>
  <c r="G22" i="8" s="1"/>
  <c r="G20" i="8"/>
  <c r="G21" i="8" s="1"/>
  <c r="B4" i="1"/>
  <c r="D5" i="5"/>
  <c r="E5" i="5" s="1"/>
  <c r="F5" i="5" s="1"/>
  <c r="G5" i="5" s="1"/>
  <c r="H5" i="5" s="1"/>
  <c r="I5" i="5" s="1"/>
  <c r="J5" i="5" s="1"/>
  <c r="D16" i="14"/>
  <c r="K20" i="8"/>
  <c r="K21" i="8" s="1"/>
  <c r="K19" i="8"/>
  <c r="K22" i="8" s="1"/>
  <c r="H19" i="8"/>
  <c r="H22" i="8" s="1"/>
  <c r="H20" i="8"/>
  <c r="H21" i="8" s="1"/>
  <c r="E19" i="8"/>
  <c r="E22" i="8" s="1"/>
  <c r="E20" i="8"/>
  <c r="J20" i="8"/>
  <c r="J21" i="8" s="1"/>
  <c r="J19" i="8"/>
  <c r="J22" i="8" s="1"/>
  <c r="F19" i="8"/>
  <c r="F22" i="8" s="1"/>
  <c r="F20" i="8"/>
  <c r="F21" i="8" s="1"/>
  <c r="I20" i="8"/>
  <c r="I21" i="8" s="1"/>
  <c r="I19" i="8"/>
  <c r="I22" i="8" s="1"/>
  <c r="L20" i="8"/>
  <c r="L21" i="8" s="1"/>
  <c r="L19" i="8"/>
  <c r="W4" i="1" l="1"/>
  <c r="AG4" i="1"/>
  <c r="L22" i="8"/>
  <c r="L26" i="8" s="1"/>
  <c r="E21" i="8"/>
  <c r="E16" i="14"/>
  <c r="E13" i="10"/>
  <c r="F15" i="14"/>
  <c r="J29" i="8"/>
  <c r="J26" i="8"/>
  <c r="C29" i="8"/>
  <c r="C26" i="8"/>
  <c r="I26" i="8"/>
  <c r="I29" i="8"/>
  <c r="K29" i="8"/>
  <c r="K26" i="8"/>
  <c r="C4" i="1"/>
  <c r="AH4" i="1" s="1"/>
  <c r="F29" i="8"/>
  <c r="F26" i="8"/>
  <c r="E26" i="8"/>
  <c r="E29" i="8"/>
  <c r="H29" i="8"/>
  <c r="H26" i="8"/>
  <c r="G29" i="8"/>
  <c r="G26" i="8"/>
  <c r="X4" i="1" l="1"/>
  <c r="L29" i="8"/>
  <c r="K9" i="11" s="1"/>
  <c r="F13" i="10"/>
  <c r="G30" i="8"/>
  <c r="F9" i="11"/>
  <c r="H30" i="8"/>
  <c r="G9" i="11"/>
  <c r="F30" i="8"/>
  <c r="E9" i="11"/>
  <c r="K30" i="8"/>
  <c r="J9" i="11"/>
  <c r="C30" i="8"/>
  <c r="G15" i="14"/>
  <c r="D4" i="1"/>
  <c r="AI4" i="1" s="1"/>
  <c r="J30" i="8"/>
  <c r="I9" i="11"/>
  <c r="D9" i="11"/>
  <c r="E30" i="8"/>
  <c r="H9" i="11"/>
  <c r="I30" i="8"/>
  <c r="Y4" i="1" l="1"/>
  <c r="L30" i="8"/>
  <c r="G13" i="10"/>
  <c r="H15" i="14"/>
  <c r="F16" i="14"/>
  <c r="E19" i="14"/>
  <c r="E4" i="1"/>
  <c r="AJ4" i="1" s="1"/>
  <c r="L9" i="11"/>
  <c r="Z4" i="1" l="1"/>
  <c r="H13" i="10"/>
  <c r="G16" i="14"/>
  <c r="F19" i="14"/>
  <c r="F4" i="1"/>
  <c r="AK4" i="1" s="1"/>
  <c r="I15" i="14"/>
  <c r="AA4" i="1" l="1"/>
  <c r="I13" i="10"/>
  <c r="J15" i="14"/>
  <c r="G4" i="1"/>
  <c r="H16" i="14"/>
  <c r="G19" i="14"/>
  <c r="AB4" i="1" l="1"/>
  <c r="AL4" i="1"/>
  <c r="J13" i="10"/>
  <c r="I16" i="14"/>
  <c r="H19" i="14"/>
  <c r="H4" i="1"/>
  <c r="AM4" i="1" s="1"/>
  <c r="K15" i="14"/>
  <c r="AC4" i="1" l="1"/>
  <c r="K13" i="10"/>
  <c r="I4" i="1"/>
  <c r="AN4" i="1" s="1"/>
  <c r="J4" i="1"/>
  <c r="L15" i="14"/>
  <c r="J16" i="14"/>
  <c r="I19" i="14"/>
  <c r="AE4" i="1" l="1"/>
  <c r="AO4" i="1"/>
  <c r="AD4" i="1"/>
  <c r="K16" i="14"/>
  <c r="J19" i="14"/>
  <c r="L16" i="14" l="1"/>
  <c r="L19" i="14" s="1"/>
  <c r="K19" i="14"/>
  <c r="C146" i="15" l="1"/>
  <c r="D109" i="15"/>
  <c r="H23" i="15"/>
  <c r="G146" i="15"/>
  <c r="I23" i="15"/>
  <c r="I146" i="15"/>
  <c r="F23" i="15"/>
  <c r="D23" i="15"/>
  <c r="J23" i="15"/>
  <c r="C109" i="15"/>
  <c r="B23" i="15"/>
  <c r="C23" i="15"/>
  <c r="E109" i="15"/>
  <c r="H146" i="15"/>
  <c r="G23" i="15"/>
  <c r="D146" i="15"/>
  <c r="E146" i="15"/>
  <c r="J146" i="15"/>
  <c r="F146" i="15"/>
  <c r="J109" i="15"/>
  <c r="B146" i="15"/>
  <c r="E23" i="15"/>
  <c r="F109" i="15"/>
  <c r="H109" i="15"/>
  <c r="I109" i="15"/>
  <c r="B109" i="15"/>
  <c r="K30" i="7" l="1"/>
  <c r="G8" i="2"/>
  <c r="G29" i="1" s="1"/>
  <c r="G6" i="2"/>
  <c r="G32" i="7"/>
  <c r="G19" i="2" l="1"/>
  <c r="G16" i="1"/>
  <c r="G34" i="1"/>
  <c r="G38" i="1"/>
  <c r="H5" i="10"/>
  <c r="G42" i="1"/>
  <c r="AL42" i="1" s="1"/>
  <c r="G92" i="15"/>
  <c r="G100" i="15" s="1"/>
  <c r="G28" i="15"/>
  <c r="G35" i="15"/>
  <c r="G18" i="1"/>
  <c r="G17" i="1"/>
  <c r="G29" i="15"/>
  <c r="G33" i="15"/>
  <c r="G39" i="15"/>
  <c r="G26" i="15"/>
  <c r="G37" i="1" s="1"/>
  <c r="G42" i="15"/>
  <c r="G36" i="3"/>
  <c r="G10" i="2"/>
  <c r="G43" i="15"/>
  <c r="G35" i="3"/>
  <c r="G36" i="15"/>
  <c r="G34" i="3"/>
  <c r="G30" i="1"/>
  <c r="G39" i="1"/>
  <c r="G33" i="3"/>
  <c r="G41" i="15"/>
  <c r="G40" i="15"/>
  <c r="G19" i="1"/>
  <c r="G30" i="15"/>
  <c r="G34" i="15"/>
  <c r="G15" i="1"/>
  <c r="G35" i="1"/>
  <c r="G33" i="1"/>
  <c r="AB38" i="1" l="1"/>
  <c r="AL38" i="1"/>
  <c r="AB39" i="1"/>
  <c r="AL39" i="1"/>
  <c r="AB37" i="1"/>
  <c r="AL37" i="1"/>
  <c r="AL19" i="1"/>
  <c r="AB19" i="1"/>
  <c r="AB42" i="1"/>
  <c r="G102" i="15"/>
  <c r="G103" i="15" s="1"/>
  <c r="I28" i="14"/>
  <c r="G37" i="15"/>
  <c r="G118" i="15" s="1"/>
  <c r="G36" i="1"/>
  <c r="G28" i="1"/>
  <c r="G31" i="15"/>
  <c r="G14" i="1"/>
  <c r="G44" i="15"/>
  <c r="G126" i="15" s="1"/>
  <c r="G27" i="1"/>
  <c r="G31" i="1"/>
  <c r="I29" i="14"/>
  <c r="G9" i="1"/>
  <c r="G13" i="1"/>
  <c r="G12" i="1"/>
  <c r="G10" i="1"/>
  <c r="AL14" i="1" l="1"/>
  <c r="AB14" i="1"/>
  <c r="AB31" i="1"/>
  <c r="AL31" i="1"/>
  <c r="H126" i="15"/>
  <c r="H118" i="15"/>
  <c r="G45" i="15"/>
  <c r="G26" i="1"/>
  <c r="I30" i="14"/>
  <c r="I26" i="14"/>
  <c r="G8" i="1"/>
  <c r="G32" i="1"/>
  <c r="AL32" i="1" s="1"/>
  <c r="G11" i="1"/>
  <c r="AL11" i="1" l="1"/>
  <c r="AB11" i="1"/>
  <c r="AB8" i="1"/>
  <c r="AL8" i="1"/>
  <c r="AL26" i="1"/>
  <c r="AB26" i="1"/>
  <c r="AB32" i="1"/>
  <c r="I118" i="15"/>
  <c r="I126" i="15"/>
  <c r="I31" i="14"/>
  <c r="I22" i="14"/>
  <c r="J126" i="15" l="1"/>
  <c r="J118" i="15"/>
  <c r="D14" i="14" l="1"/>
  <c r="D4" i="14" s="1"/>
  <c r="G62" i="15"/>
  <c r="G65" i="15" l="1"/>
  <c r="C18" i="10"/>
  <c r="B62" i="15"/>
  <c r="H65" i="15"/>
  <c r="G138" i="15"/>
  <c r="G140" i="15"/>
  <c r="G139" i="15"/>
  <c r="G141" i="15"/>
  <c r="H62" i="15"/>
  <c r="B141" i="15" l="1"/>
  <c r="B139" i="15"/>
  <c r="H141" i="15"/>
  <c r="H140" i="15"/>
  <c r="H139" i="15"/>
  <c r="I62" i="15"/>
  <c r="G24" i="1"/>
  <c r="G22" i="1"/>
  <c r="G23" i="1"/>
  <c r="G142" i="15"/>
  <c r="G21" i="1"/>
  <c r="H138" i="15"/>
  <c r="I65" i="15"/>
  <c r="B65" i="15"/>
  <c r="C62" i="15"/>
  <c r="D18" i="10"/>
  <c r="B138" i="15" l="1"/>
  <c r="B24" i="1"/>
  <c r="D62" i="15"/>
  <c r="C139" i="15"/>
  <c r="C141" i="15"/>
  <c r="B22" i="1"/>
  <c r="C65" i="15"/>
  <c r="I139" i="15"/>
  <c r="J62" i="15"/>
  <c r="I140" i="15"/>
  <c r="I141" i="15"/>
  <c r="I138" i="15"/>
  <c r="J65" i="15"/>
  <c r="H142" i="15"/>
  <c r="H21" i="1"/>
  <c r="G20" i="1"/>
  <c r="H23" i="1"/>
  <c r="E18" i="10"/>
  <c r="H24" i="1"/>
  <c r="H22" i="1"/>
  <c r="G132" i="15"/>
  <c r="G25" i="1" s="1"/>
  <c r="AL25" i="1" l="1"/>
  <c r="AB25" i="1"/>
  <c r="AL20" i="1"/>
  <c r="AB20" i="1"/>
  <c r="I142" i="15"/>
  <c r="I21" i="1"/>
  <c r="I24" i="1"/>
  <c r="I23" i="1"/>
  <c r="C22" i="1"/>
  <c r="I22" i="1"/>
  <c r="B21" i="1"/>
  <c r="F18" i="10"/>
  <c r="C24" i="1"/>
  <c r="J141" i="15"/>
  <c r="J140" i="15"/>
  <c r="J139" i="15"/>
  <c r="G43" i="1"/>
  <c r="E62" i="15"/>
  <c r="D139" i="15"/>
  <c r="D141" i="15"/>
  <c r="H20" i="1"/>
  <c r="D65" i="15"/>
  <c r="C138" i="15"/>
  <c r="H132" i="15"/>
  <c r="H25" i="1" s="1"/>
  <c r="J138" i="15"/>
  <c r="AM20" i="1" l="1"/>
  <c r="AC20" i="1"/>
  <c r="AM25" i="1"/>
  <c r="AC25" i="1"/>
  <c r="D138" i="15"/>
  <c r="E65" i="15"/>
  <c r="C21" i="1"/>
  <c r="H43" i="1"/>
  <c r="I132" i="15"/>
  <c r="I25" i="1" s="1"/>
  <c r="J22" i="1"/>
  <c r="J142" i="15"/>
  <c r="J21" i="1"/>
  <c r="D24" i="1"/>
  <c r="J23" i="1"/>
  <c r="J24" i="1"/>
  <c r="D22" i="1"/>
  <c r="F62" i="15"/>
  <c r="E141" i="15"/>
  <c r="E139" i="15"/>
  <c r="I20" i="1"/>
  <c r="G44" i="1"/>
  <c r="G18" i="10"/>
  <c r="AB44" i="1" l="1"/>
  <c r="AL44" i="1"/>
  <c r="AN25" i="1"/>
  <c r="AD25" i="1"/>
  <c r="AN20" i="1"/>
  <c r="AD20" i="1"/>
  <c r="J20" i="1"/>
  <c r="E24" i="1"/>
  <c r="F141" i="15"/>
  <c r="F65" i="15"/>
  <c r="F139" i="15"/>
  <c r="H44" i="1"/>
  <c r="E138" i="15"/>
  <c r="D21" i="1"/>
  <c r="G45" i="1"/>
  <c r="I27" i="14"/>
  <c r="I36" i="14" s="1"/>
  <c r="I5" i="14" s="1"/>
  <c r="I6" i="14" s="1"/>
  <c r="I8" i="14" s="1"/>
  <c r="G50" i="1" s="1"/>
  <c r="G49" i="1"/>
  <c r="I43" i="1"/>
  <c r="E22" i="1"/>
  <c r="J132" i="15"/>
  <c r="J25" i="1" s="1"/>
  <c r="H18" i="10"/>
  <c r="AC44" i="1" l="1"/>
  <c r="AM44" i="1"/>
  <c r="AO20" i="1"/>
  <c r="AE20" i="1"/>
  <c r="AO25" i="1"/>
  <c r="AE25" i="1"/>
  <c r="AB49" i="1"/>
  <c r="AL49" i="1"/>
  <c r="AB50" i="1"/>
  <c r="AL50" i="1"/>
  <c r="G3" i="6"/>
  <c r="I18" i="10"/>
  <c r="F22" i="1"/>
  <c r="J27" i="14"/>
  <c r="J36" i="14" s="1"/>
  <c r="J5" i="14" s="1"/>
  <c r="J6" i="14" s="1"/>
  <c r="J8" i="14" s="1"/>
  <c r="H50" i="1" s="1"/>
  <c r="H49" i="1"/>
  <c r="H45" i="1"/>
  <c r="F138" i="15"/>
  <c r="F24" i="1"/>
  <c r="E21" i="1"/>
  <c r="I44" i="1"/>
  <c r="J43" i="1"/>
  <c r="AD44" i="1" l="1"/>
  <c r="AN44" i="1"/>
  <c r="AC49" i="1"/>
  <c r="AM49" i="1"/>
  <c r="AC50" i="1"/>
  <c r="AM50" i="1"/>
  <c r="F21" i="1"/>
  <c r="J44" i="1"/>
  <c r="K27" i="14"/>
  <c r="K36" i="14" s="1"/>
  <c r="K5" i="14" s="1"/>
  <c r="K6" i="14" s="1"/>
  <c r="K8" i="14" s="1"/>
  <c r="I50" i="1" s="1"/>
  <c r="I49" i="1"/>
  <c r="I45" i="1"/>
  <c r="J18" i="10"/>
  <c r="H3" i="6"/>
  <c r="G4" i="6"/>
  <c r="G47" i="1" s="1"/>
  <c r="AE44" i="1" l="1"/>
  <c r="AO44" i="1"/>
  <c r="AD49" i="1"/>
  <c r="AN49" i="1"/>
  <c r="AD50" i="1"/>
  <c r="AN50" i="1"/>
  <c r="H4" i="6"/>
  <c r="H47" i="1" s="1"/>
  <c r="J49" i="1"/>
  <c r="L27" i="14"/>
  <c r="L36" i="14" s="1"/>
  <c r="L5" i="14" s="1"/>
  <c r="L6" i="14" s="1"/>
  <c r="L8" i="14" s="1"/>
  <c r="J50" i="1" s="1"/>
  <c r="J45" i="1"/>
  <c r="G46" i="1"/>
  <c r="K18" i="10"/>
  <c r="I3" i="6"/>
  <c r="AE49" i="1" l="1"/>
  <c r="AO49" i="1"/>
  <c r="AB46" i="1"/>
  <c r="AL46" i="1"/>
  <c r="AE50" i="1"/>
  <c r="AO50" i="1"/>
  <c r="H46" i="1"/>
  <c r="I4" i="6"/>
  <c r="I47" i="1" s="1"/>
  <c r="G51" i="1"/>
  <c r="J3" i="6"/>
  <c r="AC46" i="1" l="1"/>
  <c r="AM46" i="1"/>
  <c r="AB51" i="1"/>
  <c r="AL51" i="1"/>
  <c r="R49" i="1"/>
  <c r="R11" i="1"/>
  <c r="R32" i="1"/>
  <c r="R44" i="1"/>
  <c r="R7" i="1"/>
  <c r="R26" i="1"/>
  <c r="R8" i="1"/>
  <c r="R42" i="1"/>
  <c r="R6" i="1"/>
  <c r="R41" i="1"/>
  <c r="R5" i="1"/>
  <c r="R20" i="1"/>
  <c r="R39" i="1"/>
  <c r="R14" i="1"/>
  <c r="R37" i="1"/>
  <c r="R48" i="1"/>
  <c r="R31" i="1"/>
  <c r="R40" i="1"/>
  <c r="R4" i="1"/>
  <c r="R19" i="1"/>
  <c r="R25" i="1"/>
  <c r="R38" i="1"/>
  <c r="R50" i="1"/>
  <c r="R46" i="1"/>
  <c r="I46" i="1"/>
  <c r="J4" i="6"/>
  <c r="J47" i="1" s="1"/>
  <c r="G53" i="1"/>
  <c r="H24" i="10"/>
  <c r="H4" i="11"/>
  <c r="C8" i="9"/>
  <c r="B8" i="9"/>
  <c r="H51" i="1"/>
  <c r="D8" i="9" l="1"/>
  <c r="R51" i="1"/>
  <c r="AC51" i="1"/>
  <c r="AM51" i="1"/>
  <c r="S32" i="1"/>
  <c r="S44" i="1"/>
  <c r="S7" i="1"/>
  <c r="S26" i="1"/>
  <c r="S41" i="1"/>
  <c r="S5" i="1"/>
  <c r="S25" i="1"/>
  <c r="S20" i="1"/>
  <c r="S39" i="1"/>
  <c r="S14" i="1"/>
  <c r="S37" i="1"/>
  <c r="S48" i="1"/>
  <c r="S8" i="1"/>
  <c r="S31" i="1"/>
  <c r="S42" i="1"/>
  <c r="S6" i="1"/>
  <c r="S40" i="1"/>
  <c r="S49" i="1"/>
  <c r="S11" i="1"/>
  <c r="S4" i="1"/>
  <c r="S38" i="1"/>
  <c r="S19" i="1"/>
  <c r="S50" i="1"/>
  <c r="AB53" i="1"/>
  <c r="AL53" i="1"/>
  <c r="AD46" i="1"/>
  <c r="AN46" i="1"/>
  <c r="S46" i="1"/>
  <c r="J46" i="1"/>
  <c r="H8" i="11"/>
  <c r="H13" i="11"/>
  <c r="H17" i="11" s="1"/>
  <c r="C19" i="9"/>
  <c r="D19" i="9" s="1"/>
  <c r="H6" i="11"/>
  <c r="H25" i="10"/>
  <c r="C9" i="9"/>
  <c r="H53" i="1"/>
  <c r="I4" i="11"/>
  <c r="I24" i="10"/>
  <c r="B9" i="9"/>
  <c r="I51" i="1"/>
  <c r="T46" i="1" s="1"/>
  <c r="S51" i="1" l="1"/>
  <c r="AC53" i="1"/>
  <c r="AM53" i="1"/>
  <c r="AE46" i="1"/>
  <c r="AO46" i="1"/>
  <c r="AD51" i="1"/>
  <c r="AN51" i="1"/>
  <c r="T44" i="1"/>
  <c r="T7" i="1"/>
  <c r="T26" i="1"/>
  <c r="T41" i="1"/>
  <c r="T5" i="1"/>
  <c r="T20" i="1"/>
  <c r="T6" i="1"/>
  <c r="T25" i="1"/>
  <c r="T40" i="1"/>
  <c r="T4" i="1"/>
  <c r="T39" i="1"/>
  <c r="T14" i="1"/>
  <c r="T37" i="1"/>
  <c r="T48" i="1"/>
  <c r="T8" i="1"/>
  <c r="T31" i="1"/>
  <c r="T42" i="1"/>
  <c r="T11" i="1"/>
  <c r="T32" i="1"/>
  <c r="T49" i="1"/>
  <c r="T19" i="1"/>
  <c r="T38" i="1"/>
  <c r="T50" i="1"/>
  <c r="C20" i="9"/>
  <c r="D20" i="9" s="1"/>
  <c r="I25" i="10"/>
  <c r="I6" i="11"/>
  <c r="H26" i="10"/>
  <c r="I53" i="1"/>
  <c r="J24" i="10"/>
  <c r="B10" i="9"/>
  <c r="J4" i="11"/>
  <c r="C10" i="9"/>
  <c r="J51" i="1"/>
  <c r="I13" i="11"/>
  <c r="I17" i="11" s="1"/>
  <c r="I8" i="11"/>
  <c r="D9" i="9"/>
  <c r="C21" i="9" l="1"/>
  <c r="D21" i="9" s="1"/>
  <c r="T51" i="1"/>
  <c r="AE51" i="1"/>
  <c r="AO51" i="1"/>
  <c r="U26" i="1"/>
  <c r="U41" i="1"/>
  <c r="U5" i="1"/>
  <c r="U20" i="1"/>
  <c r="U39" i="1"/>
  <c r="U6" i="1"/>
  <c r="U25" i="1"/>
  <c r="U40" i="1"/>
  <c r="U4" i="1"/>
  <c r="U19" i="1"/>
  <c r="U14" i="1"/>
  <c r="U37" i="1"/>
  <c r="U48" i="1"/>
  <c r="U8" i="1"/>
  <c r="U31" i="1"/>
  <c r="U42" i="1"/>
  <c r="U32" i="1"/>
  <c r="U44" i="1"/>
  <c r="U7" i="1"/>
  <c r="U38" i="1"/>
  <c r="U49" i="1"/>
  <c r="U11" i="1"/>
  <c r="U50" i="1"/>
  <c r="AD53" i="1"/>
  <c r="AN53" i="1"/>
  <c r="U46" i="1"/>
  <c r="J8" i="11"/>
  <c r="J13" i="11"/>
  <c r="J17" i="11" s="1"/>
  <c r="I26" i="10"/>
  <c r="D10" i="9"/>
  <c r="K4" i="11"/>
  <c r="J53" i="1"/>
  <c r="C11" i="9"/>
  <c r="B11" i="9"/>
  <c r="K24" i="10"/>
  <c r="J6" i="11"/>
  <c r="J25" i="10"/>
  <c r="U51" i="1" l="1"/>
  <c r="AE53" i="1"/>
  <c r="AO53" i="1"/>
  <c r="D11" i="9"/>
  <c r="J26" i="10"/>
  <c r="K8" i="11"/>
  <c r="K13" i="11"/>
  <c r="K17" i="11" s="1"/>
  <c r="C22" i="9"/>
  <c r="D22" i="9" s="1"/>
  <c r="K25" i="10"/>
  <c r="K6" i="11"/>
  <c r="K26" i="10" l="1"/>
  <c r="B118" i="15" l="1"/>
  <c r="B140" i="15" l="1"/>
  <c r="C118" i="15"/>
  <c r="B142" i="15" l="1"/>
  <c r="B23" i="1"/>
  <c r="D118" i="15"/>
  <c r="C140" i="15"/>
  <c r="C142" i="15" l="1"/>
  <c r="C23" i="1"/>
  <c r="E118" i="15"/>
  <c r="D140" i="15"/>
  <c r="B20" i="1"/>
  <c r="B132" i="15"/>
  <c r="B25" i="1" s="1"/>
  <c r="AG25" i="1" l="1"/>
  <c r="W25" i="1"/>
  <c r="B43" i="1"/>
  <c r="W20" i="1"/>
  <c r="AG20" i="1"/>
  <c r="C20" i="1"/>
  <c r="D142" i="15"/>
  <c r="D23" i="1"/>
  <c r="F118" i="15"/>
  <c r="E140" i="15"/>
  <c r="C132" i="15"/>
  <c r="C25" i="1" s="1"/>
  <c r="X20" i="1" l="1"/>
  <c r="C43" i="1"/>
  <c r="AH20" i="1"/>
  <c r="X25" i="1"/>
  <c r="AH25" i="1"/>
  <c r="B44" i="1"/>
  <c r="E142" i="15"/>
  <c r="E23" i="1"/>
  <c r="D132" i="15"/>
  <c r="D25" i="1" s="1"/>
  <c r="F140" i="15"/>
  <c r="D20" i="1"/>
  <c r="F142" i="15" l="1"/>
  <c r="F23" i="1"/>
  <c r="E20" i="1"/>
  <c r="D27" i="14"/>
  <c r="D36" i="14" s="1"/>
  <c r="D5" i="14" s="1"/>
  <c r="D6" i="14" s="1"/>
  <c r="D8" i="14" s="1"/>
  <c r="B50" i="1" s="1"/>
  <c r="B49" i="1"/>
  <c r="W44" i="1"/>
  <c r="B45" i="1"/>
  <c r="AG44" i="1"/>
  <c r="C44" i="1"/>
  <c r="AI20" i="1"/>
  <c r="Y20" i="1"/>
  <c r="D43" i="1"/>
  <c r="Y25" i="1"/>
  <c r="AI25" i="1"/>
  <c r="E132" i="15"/>
  <c r="E25" i="1" s="1"/>
  <c r="C45" i="1" l="1"/>
  <c r="AH44" i="1"/>
  <c r="X44" i="1"/>
  <c r="C49" i="1"/>
  <c r="E27" i="14"/>
  <c r="E36" i="14" s="1"/>
  <c r="E5" i="14" s="1"/>
  <c r="E6" i="14" s="1"/>
  <c r="E8" i="14" s="1"/>
  <c r="C50" i="1" s="1"/>
  <c r="Z25" i="1"/>
  <c r="AJ25" i="1"/>
  <c r="B3" i="6"/>
  <c r="W49" i="1"/>
  <c r="AG49" i="1"/>
  <c r="D44" i="1"/>
  <c r="Z20" i="1"/>
  <c r="AJ20" i="1"/>
  <c r="E43" i="1"/>
  <c r="F20" i="1"/>
  <c r="W50" i="1"/>
  <c r="AG50" i="1"/>
  <c r="F132" i="15"/>
  <c r="F25" i="1" s="1"/>
  <c r="AH49" i="1" l="1"/>
  <c r="X49" i="1"/>
  <c r="AA25" i="1"/>
  <c r="AK25" i="1"/>
  <c r="X50" i="1"/>
  <c r="AH50" i="1"/>
  <c r="AA20" i="1"/>
  <c r="AK20" i="1"/>
  <c r="F43" i="1"/>
  <c r="D45" i="1"/>
  <c r="Y44" i="1"/>
  <c r="D49" i="1"/>
  <c r="F27" i="14"/>
  <c r="F36" i="14" s="1"/>
  <c r="F5" i="14" s="1"/>
  <c r="F6" i="14" s="1"/>
  <c r="F8" i="14" s="1"/>
  <c r="D50" i="1" s="1"/>
  <c r="AI44" i="1"/>
  <c r="E44" i="1"/>
  <c r="B4" i="6"/>
  <c r="B47" i="1" s="1"/>
  <c r="C3" i="6"/>
  <c r="B46" i="1" l="1"/>
  <c r="Y49" i="1"/>
  <c r="AI49" i="1"/>
  <c r="F44" i="1"/>
  <c r="C4" i="6"/>
  <c r="C47" i="1" s="1"/>
  <c r="D3" i="6"/>
  <c r="G27" i="14"/>
  <c r="G36" i="14" s="1"/>
  <c r="G5" i="14" s="1"/>
  <c r="G6" i="14" s="1"/>
  <c r="G8" i="14" s="1"/>
  <c r="E50" i="1" s="1"/>
  <c r="E45" i="1"/>
  <c r="E49" i="1"/>
  <c r="AJ44" i="1"/>
  <c r="Z44" i="1"/>
  <c r="AI50" i="1"/>
  <c r="Y50" i="1"/>
  <c r="C46" i="1" l="1"/>
  <c r="AJ50" i="1"/>
  <c r="Z50" i="1"/>
  <c r="H27" i="14"/>
  <c r="H36" i="14" s="1"/>
  <c r="H5" i="14" s="1"/>
  <c r="H6" i="14" s="1"/>
  <c r="H8" i="14" s="1"/>
  <c r="F50" i="1" s="1"/>
  <c r="AK44" i="1"/>
  <c r="F49" i="1"/>
  <c r="AA44" i="1"/>
  <c r="F45" i="1"/>
  <c r="Z49" i="1"/>
  <c r="AJ49" i="1"/>
  <c r="E3" i="6"/>
  <c r="AG46" i="1"/>
  <c r="W46" i="1"/>
  <c r="B51" i="1"/>
  <c r="D4" i="6"/>
  <c r="D47" i="1" s="1"/>
  <c r="D46" i="1" l="1"/>
  <c r="E4" i="6"/>
  <c r="E47" i="1" s="1"/>
  <c r="F3" i="6"/>
  <c r="AK50" i="1"/>
  <c r="AA50" i="1"/>
  <c r="X46" i="1"/>
  <c r="AH46" i="1"/>
  <c r="C51" i="1"/>
  <c r="N46" i="1" s="1"/>
  <c r="M4" i="1"/>
  <c r="W51" i="1"/>
  <c r="B53" i="1"/>
  <c r="M41" i="1"/>
  <c r="M31" i="1"/>
  <c r="M37" i="1"/>
  <c r="M5" i="1"/>
  <c r="M8" i="1"/>
  <c r="M39" i="1"/>
  <c r="M40" i="1"/>
  <c r="M32" i="1"/>
  <c r="M42" i="1"/>
  <c r="C3" i="9"/>
  <c r="M14" i="1"/>
  <c r="AG51" i="1"/>
  <c r="M26" i="1"/>
  <c r="M48" i="1"/>
  <c r="M6" i="1"/>
  <c r="B3" i="9"/>
  <c r="M11" i="1"/>
  <c r="M19" i="1"/>
  <c r="C4" i="11"/>
  <c r="C24" i="10"/>
  <c r="M7" i="1"/>
  <c r="M38" i="1"/>
  <c r="M25" i="1"/>
  <c r="M20" i="1"/>
  <c r="M44" i="1"/>
  <c r="M50" i="1"/>
  <c r="M49" i="1"/>
  <c r="M46" i="1"/>
  <c r="AK49" i="1"/>
  <c r="AA49" i="1"/>
  <c r="C14" i="9" l="1"/>
  <c r="D14" i="9" s="1"/>
  <c r="M51" i="1"/>
  <c r="AG53" i="1"/>
  <c r="W53" i="1"/>
  <c r="C25" i="10"/>
  <c r="C6" i="11"/>
  <c r="F4" i="6"/>
  <c r="F47" i="1" s="1"/>
  <c r="N14" i="1"/>
  <c r="N48" i="1"/>
  <c r="C4" i="9"/>
  <c r="N6" i="1"/>
  <c r="N42" i="1"/>
  <c r="C53" i="1"/>
  <c r="AH51" i="1"/>
  <c r="D24" i="10"/>
  <c r="D4" i="11"/>
  <c r="N19" i="1"/>
  <c r="N38" i="1"/>
  <c r="B4" i="9"/>
  <c r="N41" i="1"/>
  <c r="N32" i="1"/>
  <c r="N39" i="1"/>
  <c r="N31" i="1"/>
  <c r="N37" i="1"/>
  <c r="N8" i="1"/>
  <c r="N40" i="1"/>
  <c r="N5" i="1"/>
  <c r="X51" i="1"/>
  <c r="N4" i="1"/>
  <c r="N26" i="1"/>
  <c r="N7" i="1"/>
  <c r="N11" i="1"/>
  <c r="N20" i="1"/>
  <c r="N25" i="1"/>
  <c r="N44" i="1"/>
  <c r="N49" i="1"/>
  <c r="N50" i="1"/>
  <c r="E46" i="1"/>
  <c r="C13" i="11"/>
  <c r="C8" i="11"/>
  <c r="D3" i="9"/>
  <c r="AI46" i="1"/>
  <c r="Y46" i="1"/>
  <c r="D51" i="1"/>
  <c r="D4" i="9" l="1"/>
  <c r="D53" i="1"/>
  <c r="O5" i="1"/>
  <c r="O41" i="1"/>
  <c r="O26" i="1"/>
  <c r="AI51" i="1"/>
  <c r="E24" i="10"/>
  <c r="O32" i="1"/>
  <c r="O37" i="1"/>
  <c r="O42" i="1"/>
  <c r="O7" i="1"/>
  <c r="O38" i="1"/>
  <c r="O6" i="1"/>
  <c r="O40" i="1"/>
  <c r="O11" i="1"/>
  <c r="O31" i="1"/>
  <c r="O4" i="1"/>
  <c r="O39" i="1"/>
  <c r="C5" i="9"/>
  <c r="O48" i="1"/>
  <c r="Y51" i="1"/>
  <c r="O19" i="1"/>
  <c r="O8" i="1"/>
  <c r="E4" i="11"/>
  <c r="B5" i="9"/>
  <c r="O14" i="1"/>
  <c r="O20" i="1"/>
  <c r="O25" i="1"/>
  <c r="O44" i="1"/>
  <c r="O49" i="1"/>
  <c r="O50" i="1"/>
  <c r="F46" i="1"/>
  <c r="O46" i="1"/>
  <c r="D13" i="11"/>
  <c r="D8" i="11"/>
  <c r="N51" i="1"/>
  <c r="C26" i="10"/>
  <c r="D25" i="10"/>
  <c r="X53" i="1"/>
  <c r="D6" i="11"/>
  <c r="AH53" i="1"/>
  <c r="C17" i="11"/>
  <c r="Z46" i="1"/>
  <c r="AJ46" i="1"/>
  <c r="E51" i="1"/>
  <c r="C15" i="9"/>
  <c r="D15" i="9" s="1"/>
  <c r="D5" i="9" l="1"/>
  <c r="B6" i="9"/>
  <c r="P32" i="1"/>
  <c r="P39" i="1"/>
  <c r="P8" i="1"/>
  <c r="P42" i="1"/>
  <c r="P4" i="1"/>
  <c r="P38" i="1"/>
  <c r="P37" i="1"/>
  <c r="P14" i="1"/>
  <c r="F4" i="11"/>
  <c r="P11" i="1"/>
  <c r="AJ51" i="1"/>
  <c r="P40" i="1"/>
  <c r="P6" i="1"/>
  <c r="P26" i="1"/>
  <c r="P5" i="1"/>
  <c r="P19" i="1"/>
  <c r="Z51" i="1"/>
  <c r="E53" i="1"/>
  <c r="P48" i="1"/>
  <c r="C6" i="9"/>
  <c r="C17" i="9" s="1"/>
  <c r="D17" i="9" s="1"/>
  <c r="F24" i="10"/>
  <c r="P31" i="1"/>
  <c r="P41" i="1"/>
  <c r="P7" i="1"/>
  <c r="P25" i="1"/>
  <c r="P20" i="1"/>
  <c r="P44" i="1"/>
  <c r="P49" i="1"/>
  <c r="P50" i="1"/>
  <c r="P46" i="1"/>
  <c r="E13" i="11"/>
  <c r="E8" i="11"/>
  <c r="D17" i="11"/>
  <c r="C16" i="9"/>
  <c r="D16" i="9" s="1"/>
  <c r="O51" i="1"/>
  <c r="D26" i="10"/>
  <c r="AK46" i="1"/>
  <c r="AA46" i="1"/>
  <c r="F51" i="1"/>
  <c r="E6" i="11"/>
  <c r="E25" i="10"/>
  <c r="AI53" i="1"/>
  <c r="Y53" i="1"/>
  <c r="E26" i="10" l="1"/>
  <c r="Q7" i="1"/>
  <c r="Q37" i="1"/>
  <c r="Q19" i="1"/>
  <c r="Q11" i="1"/>
  <c r="Q40" i="1"/>
  <c r="C7" i="9"/>
  <c r="Q14" i="1"/>
  <c r="B7" i="9"/>
  <c r="F53" i="1"/>
  <c r="AK51" i="1"/>
  <c r="Q41" i="1"/>
  <c r="Q26" i="1"/>
  <c r="AA51" i="1"/>
  <c r="Q4" i="1"/>
  <c r="Q6" i="1"/>
  <c r="Q39" i="1"/>
  <c r="Q5" i="1"/>
  <c r="Q38" i="1"/>
  <c r="G4" i="11"/>
  <c r="L4" i="11" s="1"/>
  <c r="L6" i="11" s="1"/>
  <c r="Q48" i="1"/>
  <c r="G24" i="10"/>
  <c r="Q42" i="1"/>
  <c r="Q31" i="1"/>
  <c r="Q8" i="1"/>
  <c r="Q32" i="1"/>
  <c r="Q20" i="1"/>
  <c r="Q25" i="1"/>
  <c r="Q44" i="1"/>
  <c r="Q49" i="1"/>
  <c r="Q50" i="1"/>
  <c r="F8" i="11"/>
  <c r="F13" i="11"/>
  <c r="P51" i="1"/>
  <c r="AJ53" i="1"/>
  <c r="Z53" i="1"/>
  <c r="F6" i="11"/>
  <c r="F25" i="10"/>
  <c r="D6" i="9"/>
  <c r="Q46" i="1"/>
  <c r="E17" i="11"/>
  <c r="D7" i="9" l="1"/>
  <c r="C18" i="9"/>
  <c r="D18" i="9" s="1"/>
  <c r="G8" i="11"/>
  <c r="L8" i="11" s="1"/>
  <c r="G13" i="11"/>
  <c r="L13" i="11" s="1"/>
  <c r="L17" i="11" s="1"/>
  <c r="F26" i="10"/>
  <c r="AK53" i="1"/>
  <c r="G25" i="10"/>
  <c r="AA53" i="1"/>
  <c r="G6" i="11"/>
  <c r="F17" i="11"/>
  <c r="Q51" i="1"/>
  <c r="G26" i="10" l="1"/>
  <c r="G17" i="11"/>
</calcChain>
</file>

<file path=xl/sharedStrings.xml><?xml version="1.0" encoding="utf-8"?>
<sst xmlns="http://schemas.openxmlformats.org/spreadsheetml/2006/main" count="880" uniqueCount="540">
  <si>
    <r>
      <rPr>
        <b/>
        <sz val="8.5"/>
        <color rgb="FFFFFFFF"/>
        <rFont val="Arial"/>
        <family val="2"/>
      </rPr>
      <t>DF</t>
    </r>
  </si>
  <si>
    <r>
      <rPr>
        <b/>
        <sz val="8.5"/>
        <color rgb="FFFFFFFF"/>
        <rFont val="Arial"/>
        <family val="2"/>
      </rPr>
      <t>SGI</t>
    </r>
  </si>
  <si>
    <r>
      <rPr>
        <b/>
        <sz val="8.5"/>
        <color rgb="FFFFFFFF"/>
        <rFont val="Arial"/>
        <family val="2"/>
      </rPr>
      <t>SGI KM</t>
    </r>
  </si>
  <si>
    <r>
      <rPr>
        <b/>
        <sz val="8.5"/>
        <color rgb="FFFFFFFF"/>
        <rFont val="Arial"/>
        <family val="2"/>
      </rPr>
      <t>SGII</t>
    </r>
  </si>
  <si>
    <r>
      <rPr>
        <b/>
        <sz val="8.5"/>
        <color rgb="FFFFFFFF"/>
        <rFont val="Arial"/>
        <family val="2"/>
      </rPr>
      <t>INP</t>
    </r>
  </si>
  <si>
    <r>
      <rPr>
        <b/>
        <sz val="8.5"/>
        <color rgb="FFFFFFFF"/>
        <rFont val="Arial"/>
        <family val="2"/>
      </rPr>
      <t>UPA</t>
    </r>
  </si>
  <si>
    <r>
      <rPr>
        <b/>
        <sz val="8.5"/>
        <color rgb="FFFFFFFF"/>
        <rFont val="Arial"/>
        <family val="2"/>
      </rPr>
      <t>UPA KM</t>
    </r>
  </si>
  <si>
    <r>
      <rPr>
        <b/>
        <sz val="8.5"/>
        <color rgb="FFFFFFFF"/>
        <rFont val="Arial"/>
        <family val="2"/>
      </rPr>
      <t>UMA 1</t>
    </r>
  </si>
  <si>
    <r>
      <rPr>
        <b/>
        <sz val="8.5"/>
        <color rgb="FFFFFFFF"/>
        <rFont val="Arial"/>
        <family val="2"/>
      </rPr>
      <t>UMA 2</t>
    </r>
  </si>
  <si>
    <r>
      <rPr>
        <b/>
        <sz val="11"/>
        <rFont val="Arial"/>
        <family val="2"/>
      </rPr>
      <t>ANEXO 6 - IMPUESTOS</t>
    </r>
  </si>
  <si>
    <r>
      <rPr>
        <b/>
        <sz val="12"/>
        <color rgb="FFFFFFFF"/>
        <rFont val="Arial"/>
        <family val="2"/>
      </rPr>
      <t>Impuesto al cheque</t>
    </r>
  </si>
  <si>
    <r>
      <rPr>
        <b/>
        <sz val="12"/>
        <color rgb="FFFFFFFF"/>
        <rFont val="Arial"/>
        <family val="2"/>
      </rPr>
      <t xml:space="preserve">DF
</t>
    </r>
    <r>
      <rPr>
        <b/>
        <sz val="12"/>
        <color rgb="FFFFFFFF"/>
        <rFont val="Arial"/>
        <family val="2"/>
      </rPr>
      <t>$/Km</t>
    </r>
  </si>
  <si>
    <r>
      <rPr>
        <b/>
        <sz val="12"/>
        <color rgb="FFFFFFFF"/>
        <rFont val="Arial"/>
        <family val="2"/>
      </rPr>
      <t xml:space="preserve">SGI
</t>
    </r>
    <r>
      <rPr>
        <b/>
        <sz val="12"/>
        <color rgb="FFFFFFFF"/>
        <rFont val="Arial"/>
        <family val="2"/>
      </rPr>
      <t>$/Km</t>
    </r>
  </si>
  <si>
    <r>
      <rPr>
        <b/>
        <sz val="12"/>
        <color rgb="FFFFFFFF"/>
        <rFont val="Arial"/>
        <family val="2"/>
      </rPr>
      <t xml:space="preserve">SGI KM
</t>
    </r>
    <r>
      <rPr>
        <b/>
        <sz val="12"/>
        <color rgb="FFFFFFFF"/>
        <rFont val="Arial"/>
        <family val="2"/>
      </rPr>
      <t>$/Km</t>
    </r>
  </si>
  <si>
    <r>
      <rPr>
        <b/>
        <sz val="12"/>
        <color rgb="FFFFFFFF"/>
        <rFont val="Arial"/>
        <family val="2"/>
      </rPr>
      <t xml:space="preserve">SGII
</t>
    </r>
    <r>
      <rPr>
        <b/>
        <sz val="12"/>
        <color rgb="FFFFFFFF"/>
        <rFont val="Arial"/>
        <family val="2"/>
      </rPr>
      <t>$/Km</t>
    </r>
  </si>
  <si>
    <r>
      <rPr>
        <b/>
        <sz val="12"/>
        <color rgb="FFFFFFFF"/>
        <rFont val="Arial"/>
        <family val="2"/>
      </rPr>
      <t xml:space="preserve">INP
</t>
    </r>
    <r>
      <rPr>
        <b/>
        <sz val="12"/>
        <color rgb="FFFFFFFF"/>
        <rFont val="Arial"/>
        <family val="2"/>
      </rPr>
      <t>$/Km</t>
    </r>
  </si>
  <si>
    <r>
      <rPr>
        <b/>
        <sz val="12"/>
        <color rgb="FFFFFFFF"/>
        <rFont val="Arial"/>
        <family val="2"/>
      </rPr>
      <t xml:space="preserve">UPA
</t>
    </r>
    <r>
      <rPr>
        <b/>
        <sz val="12"/>
        <color rgb="FFFFFFFF"/>
        <rFont val="Arial"/>
        <family val="2"/>
      </rPr>
      <t>$/Km</t>
    </r>
  </si>
  <si>
    <r>
      <rPr>
        <b/>
        <sz val="12"/>
        <color rgb="FFFFFFFF"/>
        <rFont val="Arial"/>
        <family val="2"/>
      </rPr>
      <t xml:space="preserve">UPA KM
</t>
    </r>
    <r>
      <rPr>
        <b/>
        <sz val="12"/>
        <color rgb="FFFFFFFF"/>
        <rFont val="Arial"/>
        <family val="2"/>
      </rPr>
      <t>$/Km</t>
    </r>
  </si>
  <si>
    <r>
      <rPr>
        <b/>
        <sz val="12"/>
        <color rgb="FFFFFFFF"/>
        <rFont val="Arial"/>
        <family val="2"/>
      </rPr>
      <t xml:space="preserve">UMA 1
</t>
    </r>
    <r>
      <rPr>
        <b/>
        <sz val="12"/>
        <color rgb="FFFFFFFF"/>
        <rFont val="Arial"/>
        <family val="2"/>
      </rPr>
      <t>$/Km</t>
    </r>
  </si>
  <si>
    <r>
      <rPr>
        <b/>
        <sz val="12"/>
        <color rgb="FFFFFFFF"/>
        <rFont val="Arial"/>
        <family val="2"/>
      </rPr>
      <t xml:space="preserve">UMA 2
</t>
    </r>
    <r>
      <rPr>
        <b/>
        <sz val="12"/>
        <color rgb="FFFFFFFF"/>
        <rFont val="Arial"/>
        <family val="2"/>
      </rPr>
      <t>$/Km</t>
    </r>
  </si>
  <si>
    <r>
      <rPr>
        <sz val="12"/>
        <rFont val="Arial"/>
        <family val="2"/>
      </rPr>
      <t>Depósitos</t>
    </r>
  </si>
  <si>
    <r>
      <rPr>
        <sz val="12"/>
        <rFont val="Arial"/>
        <family val="2"/>
      </rPr>
      <t>Extracciones</t>
    </r>
  </si>
  <si>
    <r>
      <rPr>
        <b/>
        <sz val="6"/>
        <rFont val="Arial"/>
        <family val="2"/>
      </rPr>
      <t>Unidad</t>
    </r>
  </si>
  <si>
    <r>
      <rPr>
        <b/>
        <sz val="6"/>
        <rFont val="Arial"/>
        <family val="2"/>
      </rPr>
      <t>Grupo tarifario</t>
    </r>
  </si>
  <si>
    <r>
      <rPr>
        <b/>
        <sz val="6"/>
        <rFont val="Arial"/>
        <family val="2"/>
      </rPr>
      <t>DF</t>
    </r>
  </si>
  <si>
    <r>
      <rPr>
        <b/>
        <sz val="6"/>
        <rFont val="Arial"/>
        <family val="2"/>
      </rPr>
      <t>SGI</t>
    </r>
  </si>
  <si>
    <r>
      <rPr>
        <b/>
        <sz val="6"/>
        <rFont val="Arial"/>
        <family val="2"/>
      </rPr>
      <t>SGI KM</t>
    </r>
  </si>
  <si>
    <r>
      <rPr>
        <b/>
        <sz val="6"/>
        <rFont val="Arial"/>
        <family val="2"/>
      </rPr>
      <t>SGII</t>
    </r>
  </si>
  <si>
    <r>
      <rPr>
        <b/>
        <sz val="6"/>
        <rFont val="Arial"/>
        <family val="2"/>
      </rPr>
      <t>INP</t>
    </r>
  </si>
  <si>
    <r>
      <rPr>
        <b/>
        <sz val="6"/>
        <rFont val="Arial"/>
        <family val="2"/>
      </rPr>
      <t>UPA</t>
    </r>
  </si>
  <si>
    <r>
      <rPr>
        <b/>
        <sz val="6"/>
        <rFont val="Arial"/>
        <family val="2"/>
      </rPr>
      <t>UPA KM</t>
    </r>
  </si>
  <si>
    <r>
      <rPr>
        <b/>
        <sz val="6"/>
        <rFont val="Arial"/>
        <family val="2"/>
      </rPr>
      <t>UMA 1</t>
    </r>
  </si>
  <si>
    <r>
      <rPr>
        <b/>
        <sz val="6"/>
        <rFont val="Arial"/>
        <family val="2"/>
      </rPr>
      <t>UMA 2</t>
    </r>
  </si>
  <si>
    <r>
      <rPr>
        <sz val="7"/>
        <rFont val="Arial"/>
        <family val="2"/>
      </rPr>
      <t>Total Anual Proyectado</t>
    </r>
  </si>
  <si>
    <r>
      <rPr>
        <b/>
        <sz val="6"/>
        <rFont val="Arial"/>
        <family val="2"/>
      </rPr>
      <t>Promedio mensual</t>
    </r>
  </si>
  <si>
    <r>
      <rPr>
        <sz val="7"/>
        <rFont val="Arial"/>
        <family val="2"/>
      </rPr>
      <t>Total Anual</t>
    </r>
  </si>
  <si>
    <r>
      <rPr>
        <b/>
        <sz val="6"/>
        <rFont val="Arial"/>
        <family val="2"/>
      </rPr>
      <t>Datos GPS SUBE</t>
    </r>
  </si>
  <si>
    <r>
      <rPr>
        <b/>
        <sz val="7"/>
        <rFont val="Arial"/>
        <family val="2"/>
      </rPr>
      <t>Promedio mensual</t>
    </r>
  </si>
  <si>
    <r>
      <rPr>
        <sz val="7"/>
        <rFont val="Arial"/>
        <family val="2"/>
      </rPr>
      <t>Ingreso Medio por pasajero</t>
    </r>
  </si>
  <si>
    <r>
      <rPr>
        <b/>
        <sz val="7"/>
        <rFont val="Arial"/>
        <family val="2"/>
      </rPr>
      <t>Diciembre 2018 CNRT</t>
    </r>
  </si>
  <si>
    <r>
      <rPr>
        <sz val="8.5"/>
        <rFont val="Arial"/>
        <family val="2"/>
      </rPr>
      <t>Precio al público (1) ($/L)</t>
    </r>
  </si>
  <si>
    <r>
      <rPr>
        <sz val="8.5"/>
        <rFont val="Arial"/>
        <family val="2"/>
      </rPr>
      <t>Alícuota de descuento/aumento</t>
    </r>
  </si>
  <si>
    <r>
      <rPr>
        <sz val="8.5"/>
        <rFont val="Arial"/>
        <family val="2"/>
      </rPr>
      <t>Precio final de referencia ($/L)</t>
    </r>
  </si>
  <si>
    <r>
      <rPr>
        <sz val="8.5"/>
        <rFont val="Arial"/>
        <family val="2"/>
      </rPr>
      <t>Precio en planta (2) ($/L)</t>
    </r>
  </si>
  <si>
    <r>
      <rPr>
        <sz val="8.5"/>
        <rFont val="Arial"/>
        <family val="2"/>
      </rPr>
      <t>Impuesto a los combustibles líquidos (Icl) ($/L)</t>
    </r>
  </si>
  <si>
    <r>
      <rPr>
        <sz val="8.5"/>
        <rFont val="Arial"/>
        <family val="2"/>
      </rPr>
      <t>Impuesto al dióxido de carbono (Icd) ($/L)</t>
    </r>
  </si>
  <si>
    <r>
      <rPr>
        <sz val="8.5"/>
        <rFont val="Arial"/>
        <family val="2"/>
      </rPr>
      <t>Iibc ($/L)</t>
    </r>
  </si>
  <si>
    <r>
      <rPr>
        <sz val="8.5"/>
        <rFont val="Arial"/>
        <family val="2"/>
      </rPr>
      <t>Precio sin impuesto ($/L)</t>
    </r>
  </si>
  <si>
    <r>
      <rPr>
        <sz val="8.5"/>
        <rFont val="Arial"/>
        <family val="2"/>
      </rPr>
      <t>Compensación ($/L)</t>
    </r>
  </si>
  <si>
    <r>
      <rPr>
        <sz val="8.5"/>
        <rFont val="Arial"/>
        <family val="2"/>
      </rPr>
      <t>Iclgn A Cuenta IVA</t>
    </r>
  </si>
  <si>
    <r>
      <rPr>
        <sz val="8.5"/>
        <rFont val="Arial"/>
        <family val="2"/>
      </rPr>
      <t>Flete</t>
    </r>
  </si>
  <si>
    <r>
      <rPr>
        <sz val="8.5"/>
        <rFont val="Arial"/>
        <family val="2"/>
      </rPr>
      <t>Consumo x Km</t>
    </r>
  </si>
  <si>
    <r>
      <rPr>
        <sz val="8.5"/>
        <rFont val="Arial"/>
        <family val="2"/>
      </rPr>
      <t>% de Consumo cubierto por el cupo</t>
    </r>
  </si>
  <si>
    <r>
      <rPr>
        <sz val="8.5"/>
        <rFont val="Arial"/>
        <family val="2"/>
      </rPr>
      <t>Costo Final Empresas ($/L) s/IVA</t>
    </r>
  </si>
  <si>
    <r>
      <rPr>
        <sz val="8.5"/>
        <rFont val="Arial"/>
        <family val="2"/>
      </rPr>
      <t>Costo Final Empresas ($/Km) s/IVA</t>
    </r>
  </si>
  <si>
    <r>
      <rPr>
        <sz val="8.5"/>
        <rFont val="Arial"/>
        <family val="2"/>
      </rPr>
      <t>Costo Final Empresas ($/L) c/IVA</t>
    </r>
  </si>
  <si>
    <r>
      <rPr>
        <sz val="8.5"/>
        <rFont val="Arial"/>
        <family val="2"/>
      </rPr>
      <t>Costo Final Empresas ($/Km) c/IVA</t>
    </r>
  </si>
  <si>
    <r>
      <rPr>
        <b/>
        <sz val="11"/>
        <rFont val="Arial"/>
        <family val="2"/>
      </rPr>
      <t>ANEXO 9 - COSTOS MENSUALES POR VEHÍCULO</t>
    </r>
  </si>
  <si>
    <t>Suburbana G1 KM</t>
  </si>
  <si>
    <t>Compensación $/Km</t>
  </si>
  <si>
    <t>Compensación por pasajero</t>
  </si>
  <si>
    <t>IPK</t>
  </si>
  <si>
    <t>KM MES/parque movil</t>
  </si>
  <si>
    <t>Total Administración y Dirección</t>
  </si>
  <si>
    <t>SUPERFICIE DESTINADA A PLAYA (m²)</t>
  </si>
  <si>
    <t>SUPERFICIE DESTINADA A GARAGE (m²)</t>
  </si>
  <si>
    <t>SUPERFICIE DESTINADA A ADMINISTRACION (m²)</t>
  </si>
  <si>
    <t>SUPERFICIE DE TERRENO (m²)</t>
  </si>
  <si>
    <t>COEFICIENTE DE CONSERVACION DE EDIFICIOS</t>
  </si>
  <si>
    <t>COEFICIENTE DE CONSERVACION DE PLAYAS</t>
  </si>
  <si>
    <t>VIDA UTIL DEL EDIFICIO EN AÑOS</t>
  </si>
  <si>
    <t>COEFICIENTE DE AMORTIZACION DE EDIFICIOS</t>
  </si>
  <si>
    <t>VIDA UTIL DE PLAYAS EN AÑOS</t>
  </si>
  <si>
    <t>COEFICIENTE DE AMORTIZACION DE PLAYAS</t>
  </si>
  <si>
    <t>VALOR RESIDUAL EDIFICIO (%)</t>
  </si>
  <si>
    <t>VALOR RESIDUAL DE PLAYA (%)</t>
  </si>
  <si>
    <t>INVERSION EN MAQ.Y HERR./ INV. EN VEHICULOS (%)</t>
  </si>
  <si>
    <t>CONSERVACION MAQ.Y HERR./ INV. MAQ.Y HERR. (%)</t>
  </si>
  <si>
    <t>VIDA UTIL MAQUINAS Y HERRAMIENTAS (Años)</t>
  </si>
  <si>
    <t>VALOR RESIDUAL MAQUINAS Y HERRAMIENTAS (%)</t>
  </si>
  <si>
    <t>COEF.DE AMORTIZ. DE MAQUINAS Y HERRAMIENTAS</t>
  </si>
  <si>
    <t>VIDA UTIL DE CAMARAS DE SEGURIDAD EN AÑOS</t>
  </si>
  <si>
    <t>VALOR RESIDUAL DE CAMARAS DE SEGURIDAD</t>
  </si>
  <si>
    <t>CONSUMO DE COMBUSTIBLE (Lts/Km)</t>
  </si>
  <si>
    <t>CONSUMO DE ACEITE (Lts/Km)</t>
  </si>
  <si>
    <t>CONSUMO DE GRASA (Kg/Km)</t>
  </si>
  <si>
    <t>CONSUMO DE ACEITE DE CAJA (Lts/km)</t>
  </si>
  <si>
    <t>CANTIDAD DE CUBIERTAS</t>
  </si>
  <si>
    <t>CANTIDAD DE CAMARAS</t>
  </si>
  <si>
    <t>CANTIDAD DE PROTECTORES</t>
  </si>
  <si>
    <t>VIDA UTIL DE LOS NEUMATICOS (Km)</t>
  </si>
  <si>
    <t>PROLONGACION DE VIDA UTIL POR RECAPADO</t>
  </si>
  <si>
    <t>VIDA UTIL TOTAL DEL JUEGO DE NEUMATICOS</t>
  </si>
  <si>
    <t>RECAPADOS ADMITIBLES/CUBIERTA</t>
  </si>
  <si>
    <t>CONSERV.NEUMATICOS/COSTO NEUMATICOS (%)</t>
  </si>
  <si>
    <t>CANT.DE ENGRASES GENERALES C/10.000 Km</t>
  </si>
  <si>
    <t>CANT.DE LAVADOS CARROCERIA C/10.000 Km</t>
  </si>
  <si>
    <t>CANT.DE LAVADOS MOTOR C/10.000 Km</t>
  </si>
  <si>
    <t>CANT.DE LAVADOS CHASIS C/10.000 Km</t>
  </si>
  <si>
    <t>CANT.DE FILTROS DE GASOIL C/10.000 Km</t>
  </si>
  <si>
    <t>CANT.DE FILTROS DE ACEITE C/10.000 Km</t>
  </si>
  <si>
    <t>CANT.DE FILTROS DE AIRE C/10.000 Km</t>
  </si>
  <si>
    <t>VIDA UTIL DEL SERVICE (Km)</t>
  </si>
  <si>
    <t>REPARACION CHASIS/PRECIO DEL VEHICULO RENOV. (%)</t>
  </si>
  <si>
    <t>REPARACION  CARROCERIA/PREC.  CARROCERÍA NUEVA (%)</t>
  </si>
  <si>
    <t>PROPORCIÓN DE VEHÍCULOS GRANDES</t>
  </si>
  <si>
    <t>PROPORCION DE VEHICULOS MEDIANOS</t>
  </si>
  <si>
    <t>CANTIDAD ANUAL DE CONTROLES TECNICOS</t>
  </si>
  <si>
    <t>METROS CUADRADOS DE PLAYA/VEHICULO</t>
  </si>
  <si>
    <t>METROS CUADRADOS DE GARAGE/VEHICULO</t>
  </si>
  <si>
    <t>METROS CUADRADOS ADMINISTRACION/VEHICULO</t>
  </si>
  <si>
    <t>METROS CUADRADOS DE TERRENO/VEHICULO</t>
  </si>
  <si>
    <r>
      <rPr>
        <b/>
        <sz val="9"/>
        <color rgb="FFFFFFFF"/>
        <rFont val="Arial"/>
        <family val="2"/>
      </rPr>
      <t>PARAMETROS DE CALCULO</t>
    </r>
  </si>
  <si>
    <r>
      <rPr>
        <b/>
        <sz val="9"/>
        <color rgb="FFFFFFFF"/>
        <rFont val="Arial"/>
        <family val="2"/>
      </rPr>
      <t>DF</t>
    </r>
  </si>
  <si>
    <r>
      <rPr>
        <b/>
        <sz val="9"/>
        <color rgb="FFFFFFFF"/>
        <rFont val="Arial"/>
        <family val="2"/>
      </rPr>
      <t>SGI</t>
    </r>
  </si>
  <si>
    <r>
      <rPr>
        <b/>
        <sz val="9"/>
        <color rgb="FFFFFFFF"/>
        <rFont val="Arial"/>
        <family val="2"/>
      </rPr>
      <t>SGI KM</t>
    </r>
  </si>
  <si>
    <r>
      <rPr>
        <b/>
        <sz val="9"/>
        <color rgb="FFFFFFFF"/>
        <rFont val="Arial"/>
        <family val="2"/>
      </rPr>
      <t>SGII</t>
    </r>
  </si>
  <si>
    <r>
      <rPr>
        <b/>
        <sz val="9"/>
        <color rgb="FFFFFFFF"/>
        <rFont val="Arial"/>
        <family val="2"/>
      </rPr>
      <t>INP</t>
    </r>
  </si>
  <si>
    <r>
      <rPr>
        <b/>
        <sz val="9"/>
        <color rgb="FFFFFFFF"/>
        <rFont val="Arial"/>
        <family val="2"/>
      </rPr>
      <t>UPA</t>
    </r>
  </si>
  <si>
    <r>
      <rPr>
        <b/>
        <sz val="9"/>
        <color rgb="FFFFFFFF"/>
        <rFont val="Arial"/>
        <family val="2"/>
      </rPr>
      <t>UPA KM</t>
    </r>
  </si>
  <si>
    <r>
      <rPr>
        <b/>
        <sz val="9"/>
        <color rgb="FFFFFFFF"/>
        <rFont val="Arial"/>
        <family val="2"/>
      </rPr>
      <t>UMA 1</t>
    </r>
  </si>
  <si>
    <r>
      <rPr>
        <b/>
        <sz val="9"/>
        <color rgb="FFFFFFFF"/>
        <rFont val="Arial"/>
        <family val="2"/>
      </rPr>
      <t>UMA 2</t>
    </r>
  </si>
  <si>
    <t>VALOR DE LA T,N,F,T, ($/vehículo-año)</t>
  </si>
  <si>
    <t>PORCENTAJE FINANCIACION EN COMPRA 0 KM,(%)</t>
  </si>
  <si>
    <t>Días del año</t>
  </si>
  <si>
    <t>Vacaciones</t>
  </si>
  <si>
    <t>Feriados</t>
  </si>
  <si>
    <t>Inasistencia (enfermedad, otras licencias)</t>
  </si>
  <si>
    <t>Total de inasistencias</t>
  </si>
  <si>
    <t>Días anuales de trabajo por conductor</t>
  </si>
  <si>
    <t>Tarifa media sin Compensación (Tm = Cm/IPK)</t>
  </si>
  <si>
    <t>Compensación $/Km c/IVA</t>
  </si>
  <si>
    <t>Consumo total GO</t>
  </si>
  <si>
    <t>Francos (6*11)</t>
  </si>
  <si>
    <t>TOTAL</t>
  </si>
  <si>
    <t>Costo por km (Cm) (sin iva)</t>
  </si>
  <si>
    <r>
      <t xml:space="preserve">Indicador                                                                                                                                    </t>
    </r>
    <r>
      <rPr>
        <b/>
        <vertAlign val="superscript"/>
        <sz val="8"/>
        <color rgb="FFFFFFFF"/>
        <rFont val="Arial"/>
        <family val="2"/>
      </rPr>
      <t>Recaudación SUBE</t>
    </r>
  </si>
  <si>
    <t>Indicador                                                                                                                                                                                    Kilómetros recorridos</t>
  </si>
  <si>
    <t>Indicador                                                                                                                                                                                    Pasajeros Transportados SUBE</t>
  </si>
  <si>
    <t>Indicador                                                                                                                                                                                    Cantidad de líneas</t>
  </si>
  <si>
    <t>Indicador                                                                                                                                                                                    Parque móvil</t>
  </si>
  <si>
    <t>ANEXO 2- CARACTERÍSTICAS DE LAS EMPRESAS REPRESENTATIVAS</t>
  </si>
  <si>
    <t>Ingreso medio por Pasajero (Im)</t>
  </si>
  <si>
    <t>ANEXO 1 - DETERMINACIÓN DEL COSTO POR KM</t>
  </si>
  <si>
    <t>1. COMBUSTIBLE</t>
  </si>
  <si>
    <t>2. LUBRICANTES</t>
  </si>
  <si>
    <t>3. NEUMATICOS</t>
  </si>
  <si>
    <t>4. ENGRASE Y LAVADO</t>
  </si>
  <si>
    <t>5. REPARACION Y MANTENIMIENTO DEL MATERIAL RODANTE</t>
  </si>
  <si>
    <t>. Reparación y mant. chasis (incluye boletera y rampa)</t>
  </si>
  <si>
    <t>. Reparación y Mant. carrocería</t>
  </si>
  <si>
    <t>6. DEPRECIACION DEL MATERIAL RODANTE</t>
  </si>
  <si>
    <t>. Chasis (incluye boletera y rampa)</t>
  </si>
  <si>
    <t>. Carrocería</t>
  </si>
  <si>
    <t>7. SEGURO DEL VEHÍCULO</t>
  </si>
  <si>
    <t>. Responsabilidad civil</t>
  </si>
  <si>
    <t>. Costo de Franquicia</t>
  </si>
  <si>
    <t>. Chasis</t>
  </si>
  <si>
    <t>8. PATENTES Y TNFT</t>
  </si>
  <si>
    <t>9. SALARIOS DEL PERSONAL</t>
  </si>
  <si>
    <t>Personal de conducción</t>
  </si>
  <si>
    <t>Personal de tráfico</t>
  </si>
  <si>
    <t>Personal de mantenimiento</t>
  </si>
  <si>
    <t>Personal de administración</t>
  </si>
  <si>
    <t>10. SEGUROS DEL PERSONAL</t>
  </si>
  <si>
    <t>11. MÁQUINAS, HERRAMIENTAS E INMUEBLES</t>
  </si>
  <si>
    <t>Conservación de inmuebles</t>
  </si>
  <si>
    <t>Depreciación de inmuebles</t>
  </si>
  <si>
    <t>Conservación de máquinas y herramientas</t>
  </si>
  <si>
    <t>Depreciación de máquinas y herramientas</t>
  </si>
  <si>
    <t>12. IMPUESTOS Y TASAS MUNICIPALES</t>
  </si>
  <si>
    <t>13. COSTO DEL CAPITAL INVERTIDO</t>
  </si>
  <si>
    <t>. Máquinas y herramientas</t>
  </si>
  <si>
    <t>. Inmuebles</t>
  </si>
  <si>
    <t>14. LICENCIA NACIONAL HABILITANTE</t>
  </si>
  <si>
    <t>15. CONTROL TECNICO DEL MATERIAL RODANTE</t>
  </si>
  <si>
    <t>16. A.C.TRANS</t>
  </si>
  <si>
    <t>17. PEAJES</t>
  </si>
  <si>
    <t>18. SERVICIO DE VIGILANCIA</t>
  </si>
  <si>
    <t>19. CAMARAS DE SEGURIDAD</t>
  </si>
  <si>
    <t>SUBTOTAL SIN GASTOS GENERALES</t>
  </si>
  <si>
    <t>20. GASTOS GENERALES</t>
  </si>
  <si>
    <t>COSTO TOTAL SIN IMPUESTOS</t>
  </si>
  <si>
    <t>21. IMPUESTOS NACIONALES Y COMPENSACIONES</t>
  </si>
  <si>
    <t>Impuesto al cheque</t>
  </si>
  <si>
    <t>22. IMPUESTO A LOS INGRESOS BRUTOS</t>
  </si>
  <si>
    <t>23. Costo de gerenciamiento</t>
  </si>
  <si>
    <t>24. Saldo Técnico a Favor IVA</t>
  </si>
  <si>
    <t>COSTO TOTAL POR KILOMETRO SIN IVA</t>
  </si>
  <si>
    <t>ÍNDICE PASAJERO KILÓMETRO (IPK)</t>
  </si>
  <si>
    <t>Tarifa media sin compensación (Tm = Cm / IPK)</t>
  </si>
  <si>
    <r>
      <rPr>
        <b/>
        <sz val="9"/>
        <color rgb="FFFFFFFF"/>
        <rFont val="Calibri"/>
        <family val="2"/>
        <scheme val="minor"/>
      </rPr>
      <t>RUBROS</t>
    </r>
  </si>
  <si>
    <t>COSTO ANUAL CAMARAS DE SEGURIDAD ($/vehículo-año)</t>
  </si>
  <si>
    <t>PRECIO CAMARAS DE SEGURIDAD POR VEHÍCULO ($)</t>
  </si>
  <si>
    <t>PRECIO DEL METRO CUADRADO DE TERRENO ($/m²)</t>
  </si>
  <si>
    <t>PRECIO DEL METRO CUADRADO DE ADMINIST. ($/m²)</t>
  </si>
  <si>
    <t>PRECIO DEL METRO CUADRADO DE PAVIMENTO ($/m²)</t>
  </si>
  <si>
    <t>COSTO ANUAL DEL SEGURO DE CARROCERÍA ($/año)</t>
  </si>
  <si>
    <t>COEFICIENTE DE SEGURO DE CARROCERÍA / VALOR ASEGURADO</t>
  </si>
  <si>
    <t>COEFICIENTE DE AMORTIZACION VEHICULOS (fondo)</t>
  </si>
  <si>
    <t>PRECIO DE LA CARROCERIA ($) +Aire Acondicionado</t>
  </si>
  <si>
    <t>DF</t>
  </si>
  <si>
    <t>SGI</t>
  </si>
  <si>
    <t xml:space="preserve">Período Acuerdo Gasoil a Precio Diferencial </t>
  </si>
  <si>
    <t>ITEM</t>
  </si>
  <si>
    <t>CONCEPTOS</t>
  </si>
  <si>
    <t>UNIDAD</t>
  </si>
  <si>
    <t>SGI KM</t>
  </si>
  <si>
    <t>SGII</t>
  </si>
  <si>
    <t>INP</t>
  </si>
  <si>
    <t>UPA</t>
  </si>
  <si>
    <t>UPA KM</t>
  </si>
  <si>
    <t>UMA 1</t>
  </si>
  <si>
    <t>UMA 2</t>
  </si>
  <si>
    <t xml:space="preserve"> SALDO TÉCNICO A FAVOR DEL IVA</t>
  </si>
  <si>
    <t>IVA Débito fiscal</t>
  </si>
  <si>
    <t>$/año por línea</t>
  </si>
  <si>
    <t>IVA Crédito fiscal</t>
  </si>
  <si>
    <t>SALDO TÉCNICO</t>
  </si>
  <si>
    <t>$/año / empresa</t>
  </si>
  <si>
    <t>RESULTADO DE LA POSICIÓN</t>
  </si>
  <si>
    <t>Saldo a favor</t>
  </si>
  <si>
    <t>$/km</t>
  </si>
  <si>
    <t>IVA DEBITO FISCAL</t>
  </si>
  <si>
    <t>Recaudación Anual</t>
  </si>
  <si>
    <t>alic50%=Alícuota IVA al 50 %</t>
  </si>
  <si>
    <t>%</t>
  </si>
  <si>
    <t>Cantidad de Líneas</t>
  </si>
  <si>
    <t>Ingresos por Publicidad Anual sin IVA</t>
  </si>
  <si>
    <t>$</t>
  </si>
  <si>
    <t>alicgral=Alícuota general IVA</t>
  </si>
  <si>
    <t>IVA CREDITO FISCAL</t>
  </si>
  <si>
    <t>ivacpcombust=IVA por la compra de combustible</t>
  </si>
  <si>
    <t>$/Lt</t>
  </si>
  <si>
    <t>ivacpcombust(Acuerdo)=IVA por la compra de combustible. Acuerdo</t>
  </si>
  <si>
    <t>ivaflete=IVA por flete</t>
  </si>
  <si>
    <t>Ckm= Consumo de combustible por km. Recorrido</t>
  </si>
  <si>
    <t>Lt/Km</t>
  </si>
  <si>
    <t>ivapcombustibletotal=IVA por la compra de combustible + Acuerdo + Flete</t>
  </si>
  <si>
    <t>cpralubr=Compra de lubricantes y filtros</t>
  </si>
  <si>
    <t>cpraneum=Compra y recapado de neumáticos</t>
  </si>
  <si>
    <t>mantyrep=Servicio de mantenimiento y reparación</t>
  </si>
  <si>
    <t>peajes=Costo anual de peajes</t>
  </si>
  <si>
    <t>seguros=Costo anual seguros</t>
  </si>
  <si>
    <t>gg=Gastos generales anuales</t>
  </si>
  <si>
    <t>valoramortbsuso=Valor amortizable bienes de uso</t>
  </si>
  <si>
    <t>valorconseredif=Valor conservación edificios</t>
  </si>
  <si>
    <t>valoramortvehic=Valor amortizable de vehículos</t>
  </si>
  <si>
    <t>Kilómetros anuales</t>
  </si>
  <si>
    <t>km anuales</t>
  </si>
  <si>
    <t>SERVICIO DE VIGILANCIA</t>
  </si>
  <si>
    <t>PRECIO DEL GASOIL ($/Lt)</t>
  </si>
  <si>
    <t>PRECIO DEL GASOIL ($/Lt) (sin IVA)</t>
  </si>
  <si>
    <t>PRECIO DEL ACEITE ($/Lt)</t>
  </si>
  <si>
    <t>PRECIO DE LA GRASA ($/Kg)</t>
  </si>
  <si>
    <t>PRECIO DE LA CUBIERTA ($)</t>
  </si>
  <si>
    <t>PRECIO DEL RECAPADO ($)</t>
  </si>
  <si>
    <t>PRECIO DEL ENGRASE GENERAL ($)</t>
  </si>
  <si>
    <t>PRECIO DEL LAVADO DE CARROCERIA ($)</t>
  </si>
  <si>
    <t>PRECIO DEL LAVADO DE MOTOR ($)</t>
  </si>
  <si>
    <t>PRECIO DEL LAVADO DE CHASIS ($)</t>
  </si>
  <si>
    <t>PRECIO DEL FILTRO DE GASOIL ($)</t>
  </si>
  <si>
    <t>PRECIO DEL FILTRO DE ACEITE ($)</t>
  </si>
  <si>
    <t>PRECIO DEL FILTRO DE AIRE ($)</t>
  </si>
  <si>
    <t>PRECIO DEL CHASIS ($)</t>
  </si>
  <si>
    <t>GASTOS INICIALES MATERIAL RODANTE (%)</t>
  </si>
  <si>
    <t>VALOR RESIDUAL DEL VEHICULO (%)</t>
  </si>
  <si>
    <t>VALOR DEPRECIABLE DEL CHASIS ($)</t>
  </si>
  <si>
    <t>VALOR DEPRECIABLE DE LA CARROCERÍA ($)</t>
  </si>
  <si>
    <t>PRECIO DE CADA CONTROL TECNICO ($) Sin IVA</t>
  </si>
  <si>
    <t>Precio del chasis al 50% de su vida útil</t>
  </si>
  <si>
    <t>Precio de la carrocería al 50% de su vida útil</t>
  </si>
  <si>
    <t>PREMIO SEGURO RESPONSABILIDAD CIVIL ($/Año)</t>
  </si>
  <si>
    <t>PREMIO SEGURO RESPONSABILIDAD CIVIL ($/mes)</t>
  </si>
  <si>
    <t>COSTO ANUAL DE FRANQUICIA POR VEHÍCULO ($)</t>
  </si>
  <si>
    <t>COEFICIENTE DE SEGURO DE CHASIS / VALOR ASEGURADO</t>
  </si>
  <si>
    <t>Valor asegurado / Valor chasis depreciable</t>
  </si>
  <si>
    <t>Valor asegurado / Valor carrocería depreciable</t>
  </si>
  <si>
    <t>COSTO ANUAL SEGURO DEL CHASIS ($/año)</t>
  </si>
  <si>
    <t>VALOR DE LA PATENTE ($/Año)</t>
  </si>
  <si>
    <t>APORTE A ACTRANS</t>
  </si>
  <si>
    <t>TASA DE INTERES SOBRE EL CAPITAL INVERTIDO (%)</t>
  </si>
  <si>
    <t>TASA DE INTERES PASIVA (%)</t>
  </si>
  <si>
    <t>Remuneración del gerenciamiento</t>
  </si>
  <si>
    <t>Remuneración del gerenciamiento personal</t>
  </si>
  <si>
    <t>PRECIO DEL METRO CUADRADO DE GARAGE ($/m²)</t>
  </si>
  <si>
    <t>ALICUOTA IMPUESTO A LOS INGRESOS BRUTOS (%)</t>
  </si>
  <si>
    <t>VALUACION FISCAL / VALUACION VENAL (%)</t>
  </si>
  <si>
    <t>ALUMBRADO BARRIDO Y LIMPIEZA (%)</t>
  </si>
  <si>
    <t>CONTRIBUCION TERRITORIAL (%)</t>
  </si>
  <si>
    <t>PAVIMENTOS Y ACERAS (%)</t>
  </si>
  <si>
    <t>COSTO GASTO GENERAL / KM BASE 1983</t>
  </si>
  <si>
    <t>VALOR VEHICULO 5 AÑOS/VALOR VEHICULO 0 KM</t>
  </si>
  <si>
    <t>TASA DE INTERES EN FINANCIACION (%)</t>
  </si>
  <si>
    <t>ANEXO 5 - PRECIOS CONSIDERADOS EN LA ESTIMACIÓN - SIN I.V.A.</t>
  </si>
  <si>
    <t>Compensación total GO c/IVA</t>
  </si>
  <si>
    <t>ANEXO 8 - COSTO DEL COMBUSTIBLE</t>
  </si>
  <si>
    <t>Indicador</t>
  </si>
  <si>
    <r>
      <rPr>
        <b/>
        <sz val="8"/>
        <color rgb="FFFFFFFF"/>
        <rFont val="Calibri"/>
        <family val="2"/>
        <scheme val="minor"/>
      </rPr>
      <t>DF</t>
    </r>
  </si>
  <si>
    <r>
      <rPr>
        <b/>
        <sz val="8"/>
        <color rgb="FFFFFFFF"/>
        <rFont val="Calibri"/>
        <family val="2"/>
        <scheme val="minor"/>
      </rPr>
      <t>SGI</t>
    </r>
  </si>
  <si>
    <r>
      <rPr>
        <b/>
        <sz val="8"/>
        <color rgb="FFFFFFFF"/>
        <rFont val="Calibri"/>
        <family val="2"/>
        <scheme val="minor"/>
      </rPr>
      <t>SGI KM</t>
    </r>
  </si>
  <si>
    <r>
      <rPr>
        <b/>
        <sz val="8"/>
        <color rgb="FFFFFFFF"/>
        <rFont val="Calibri"/>
        <family val="2"/>
        <scheme val="minor"/>
      </rPr>
      <t>UPA KM</t>
    </r>
  </si>
  <si>
    <r>
      <rPr>
        <b/>
        <sz val="8"/>
        <color rgb="FFFFFFFF"/>
        <rFont val="Calibri"/>
        <family val="2"/>
        <scheme val="minor"/>
      </rPr>
      <t>UMA 1</t>
    </r>
  </si>
  <si>
    <r>
      <rPr>
        <b/>
        <sz val="8"/>
        <color rgb="FFFFFFFF"/>
        <rFont val="Calibri"/>
        <family val="2"/>
        <scheme val="minor"/>
      </rPr>
      <t>UMA 2</t>
    </r>
  </si>
  <si>
    <t>IPK (Índice pasajero kilómetro)</t>
  </si>
  <si>
    <t>pas/km</t>
  </si>
  <si>
    <t>Recorrido medio anual por vehículo</t>
  </si>
  <si>
    <t>km/veh</t>
  </si>
  <si>
    <t>Relación conductor por vehículo</t>
  </si>
  <si>
    <t>cond/veh</t>
  </si>
  <si>
    <t>Velocidad comercial</t>
  </si>
  <si>
    <t>km/h</t>
  </si>
  <si>
    <t>10.b. PRECIOS RELEVANTES</t>
  </si>
  <si>
    <t>Vehículo 0 km (sin IVA)</t>
  </si>
  <si>
    <t>$/veh</t>
  </si>
  <si>
    <t>$/un</t>
  </si>
  <si>
    <t>$/lt</t>
  </si>
  <si>
    <t>Combustible (Gas oil) (sin IVA)</t>
  </si>
  <si>
    <t>Salario del conductor</t>
  </si>
  <si>
    <t>$/cond</t>
  </si>
  <si>
    <t>Sueldo Básico</t>
  </si>
  <si>
    <t>Premio Asistencia</t>
  </si>
  <si>
    <t>Atención de boletera</t>
  </si>
  <si>
    <t>Viático diario</t>
  </si>
  <si>
    <t>$/día</t>
  </si>
  <si>
    <t>Adicional no remunerativo</t>
  </si>
  <si>
    <t>10.c. RESULTADOS</t>
  </si>
  <si>
    <t>$/pas</t>
  </si>
  <si>
    <r>
      <rPr>
        <b/>
        <sz val="9"/>
        <color rgb="FFFFFFFF"/>
        <rFont val="Calibri"/>
        <family val="2"/>
        <scheme val="minor"/>
      </rPr>
      <t>Variable</t>
    </r>
  </si>
  <si>
    <r>
      <rPr>
        <b/>
        <sz val="9"/>
        <color rgb="FFFFFFFF"/>
        <rFont val="Calibri"/>
        <family val="2"/>
        <scheme val="minor"/>
      </rPr>
      <t>unidad</t>
    </r>
  </si>
  <si>
    <r>
      <rPr>
        <b/>
        <sz val="9"/>
        <color rgb="FFFFFFFF"/>
        <rFont val="Calibri"/>
        <family val="2"/>
        <scheme val="minor"/>
      </rPr>
      <t>DF</t>
    </r>
  </si>
  <si>
    <r>
      <rPr>
        <b/>
        <sz val="9"/>
        <color rgb="FFFFFFFF"/>
        <rFont val="Calibri"/>
        <family val="2"/>
        <scheme val="minor"/>
      </rPr>
      <t>SGI</t>
    </r>
  </si>
  <si>
    <r>
      <rPr>
        <b/>
        <sz val="9"/>
        <color rgb="FFFFFFFF"/>
        <rFont val="Calibri"/>
        <family val="2"/>
        <scheme val="minor"/>
      </rPr>
      <t>SGI KM</t>
    </r>
  </si>
  <si>
    <r>
      <rPr>
        <b/>
        <sz val="9"/>
        <color rgb="FFFFFFFF"/>
        <rFont val="Calibri"/>
        <family val="2"/>
        <scheme val="minor"/>
      </rPr>
      <t>Grupo Tarifario
SGII              INP              UPA</t>
    </r>
  </si>
  <si>
    <r>
      <rPr>
        <b/>
        <sz val="9"/>
        <color rgb="FFFFFFFF"/>
        <rFont val="Calibri"/>
        <family val="2"/>
        <scheme val="minor"/>
      </rPr>
      <t>UPA KM</t>
    </r>
  </si>
  <si>
    <r>
      <rPr>
        <b/>
        <sz val="9"/>
        <color rgb="FFFFFFFF"/>
        <rFont val="Calibri"/>
        <family val="2"/>
        <scheme val="minor"/>
      </rPr>
      <t>UMA 1</t>
    </r>
  </si>
  <si>
    <r>
      <rPr>
        <b/>
        <sz val="9"/>
        <color rgb="FFFFFFFF"/>
        <rFont val="Calibri"/>
        <family val="2"/>
        <scheme val="minor"/>
      </rPr>
      <t>UMA 2</t>
    </r>
  </si>
  <si>
    <r>
      <rPr>
        <b/>
        <sz val="9"/>
        <color rgb="FFFFFFFF"/>
        <rFont val="Calibri"/>
        <family val="2"/>
        <scheme val="minor"/>
      </rPr>
      <t>Precio</t>
    </r>
  </si>
  <si>
    <r>
      <rPr>
        <sz val="9"/>
        <rFont val="Calibri"/>
        <family val="2"/>
        <scheme val="minor"/>
      </rPr>
      <t>Adicionales (rampa y boletera- sin
IVA)</t>
    </r>
  </si>
  <si>
    <r>
      <rPr>
        <sz val="9"/>
        <rFont val="Calibri"/>
        <family val="2"/>
        <scheme val="minor"/>
      </rPr>
      <t>Combustible (Gas oil) (precio
relevado)</t>
    </r>
  </si>
  <si>
    <t>Distrito Federal</t>
  </si>
  <si>
    <t>Suburbana Grupo 1</t>
  </si>
  <si>
    <t>Suburbana KM</t>
  </si>
  <si>
    <t>Suburbana Grupo 2</t>
  </si>
  <si>
    <t>Urbanas Interprovinciales</t>
  </si>
  <si>
    <t>Provinciales</t>
  </si>
  <si>
    <t>Provinciales KM</t>
  </si>
  <si>
    <t>Municipal 1</t>
  </si>
  <si>
    <t>Municipal 2</t>
  </si>
  <si>
    <r>
      <rPr>
        <b/>
        <sz val="10"/>
        <color rgb="FFFFFFFF"/>
        <rFont val="Arial"/>
        <family val="2"/>
      </rPr>
      <t>Grupo Tarifario</t>
    </r>
  </si>
  <si>
    <r>
      <rPr>
        <b/>
        <sz val="10"/>
        <color rgb="FFFFFFFF"/>
        <rFont val="Arial"/>
        <family val="2"/>
      </rPr>
      <t>COSTO TOTAL</t>
    </r>
  </si>
  <si>
    <r>
      <rPr>
        <b/>
        <sz val="10"/>
        <color rgb="FFFFFFFF"/>
        <rFont val="Arial"/>
        <family val="2"/>
      </rPr>
      <t>EROGABLE</t>
    </r>
  </si>
  <si>
    <r>
      <rPr>
        <b/>
        <sz val="10"/>
        <color rgb="FFFFFFFF"/>
        <rFont val="Arial"/>
        <family val="2"/>
      </rPr>
      <t>NO EROGABLE</t>
    </r>
  </si>
  <si>
    <t>ANEXO 5.A. - SALDO TECNICO A FAVOR DE IVA</t>
  </si>
  <si>
    <t>ANEXO 7 - DATOS BÁSICOS PARA EL CÁLCULO TARIFARIO</t>
  </si>
  <si>
    <t>ANEXO 4 -COSTO DEL PERSONAL</t>
  </si>
  <si>
    <t>Conductores</t>
  </si>
  <si>
    <t>Tráfico</t>
  </si>
  <si>
    <t>Jefes de tráfico</t>
  </si>
  <si>
    <t>Inspectores</t>
  </si>
  <si>
    <t>Otros</t>
  </si>
  <si>
    <t>Total tráfico</t>
  </si>
  <si>
    <t>Mantenimiento</t>
  </si>
  <si>
    <t>Jefes de taller</t>
  </si>
  <si>
    <t>Oficiales mecánicos, electricistas, etc</t>
  </si>
  <si>
    <t>Gomeros</t>
  </si>
  <si>
    <t>Total mantenimiento</t>
  </si>
  <si>
    <t>Administración y Dirección</t>
  </si>
  <si>
    <t>Gerentes</t>
  </si>
  <si>
    <t>Jefes</t>
  </si>
  <si>
    <t>Administrativos</t>
  </si>
  <si>
    <t>Recaudadores</t>
  </si>
  <si>
    <t>TOTAL DEL PERSONAL DE LA EMPRESA</t>
  </si>
  <si>
    <t>Determinación de las Asignaciones remunerativas por conductor (convenio)</t>
  </si>
  <si>
    <t>Atención S.U.B.E.</t>
  </si>
  <si>
    <t>Bonificación por antigüedad</t>
  </si>
  <si>
    <t>Antigüedad promedio del personal</t>
  </si>
  <si>
    <t>Remuneración por antigüedad</t>
  </si>
  <si>
    <t>Total de asignación remunerativa</t>
  </si>
  <si>
    <t>Porcentaje Premio Asistencia</t>
  </si>
  <si>
    <t>Determinación de las Asignaciones no remunerativas por conductor (convenio)</t>
  </si>
  <si>
    <t>Viáticos diarios</t>
  </si>
  <si>
    <t>Días trabajados</t>
  </si>
  <si>
    <t>Viáticos mensuales</t>
  </si>
  <si>
    <t>Adicional No remunerativo</t>
  </si>
  <si>
    <t>Aporte Obra Social por adicional no remunerativo</t>
  </si>
  <si>
    <t>Total de asignación no remunerativa</t>
  </si>
  <si>
    <t>Determinación de las Cargas Sociales</t>
  </si>
  <si>
    <t>Régimen de Jubilaciones y Pensiones (ley 24.241)</t>
  </si>
  <si>
    <t>Instituto Nacional de Jubilaciones y Pensiones</t>
  </si>
  <si>
    <t>Asignaciones Familiares (Ley 24.471)</t>
  </si>
  <si>
    <t>Obra Social</t>
  </si>
  <si>
    <t>Previsión para despidos</t>
  </si>
  <si>
    <t>Seguro de vida obligatorio</t>
  </si>
  <si>
    <t>Decreto 633/18</t>
  </si>
  <si>
    <t>Total de cargas sociales + Previsión + Seguro vida obligatorio</t>
  </si>
  <si>
    <t>Premio Estimulo</t>
  </si>
  <si>
    <t>Incidencia Antigüedad (11 años - 1,5% x año)</t>
  </si>
  <si>
    <t>Incidencia Hs Extras y feriados</t>
  </si>
  <si>
    <t>Incidencia Enfermedad</t>
  </si>
  <si>
    <t>Incidencia ART</t>
  </si>
  <si>
    <t>SAC</t>
  </si>
  <si>
    <t>Cargas Sociales (incluye ART al 5,58%)</t>
  </si>
  <si>
    <t>Costo Total Premio Estímulo</t>
  </si>
  <si>
    <t>Total personal de la línea ajustados por AFIP</t>
  </si>
  <si>
    <t>Otras sumas fijas anuales</t>
  </si>
  <si>
    <t>Indumentaria por trabajador por año ($)</t>
  </si>
  <si>
    <t>Costo capacitación por trabajor por año</t>
  </si>
  <si>
    <t>Contribución UTA por trabajador por año ($)</t>
  </si>
  <si>
    <t>Determinación de Horas Extras del personal de Conducción</t>
  </si>
  <si>
    <t>Horas anuales de conducción por vehículo</t>
  </si>
  <si>
    <t>Horas normales de conducción anual de la Dotación (horas)</t>
  </si>
  <si>
    <t>Horas diarias de conducción por chofer</t>
  </si>
  <si>
    <t>Factor de nocturnidad</t>
  </si>
  <si>
    <t>Horas diarias corregidas de conducción por chofer</t>
  </si>
  <si>
    <t>Ppción. Conducción Feriados</t>
  </si>
  <si>
    <t>Horas de Conducción Feriados</t>
  </si>
  <si>
    <t>Hs. extras anuales por vehículo</t>
  </si>
  <si>
    <t>Factor mayoración horas extras (%)</t>
  </si>
  <si>
    <t>Horas extras totales</t>
  </si>
  <si>
    <t>Factor de retribución anual total de hs. Extras</t>
  </si>
  <si>
    <t>Inspectores (Inspector 1°)</t>
  </si>
  <si>
    <t>Otros (Inspector de 2°)</t>
  </si>
  <si>
    <t>No remunerativo</t>
  </si>
  <si>
    <t>Total no remunerativo</t>
  </si>
  <si>
    <t>Otros (Lavador)</t>
  </si>
  <si>
    <t>Administrativos (Auxiliar de 1°)</t>
  </si>
  <si>
    <t>Otros (Auxiliar de 3°)</t>
  </si>
  <si>
    <t>Seguros del personal</t>
  </si>
  <si>
    <t>ART (Cápita mensual por trabajador)</t>
  </si>
  <si>
    <t>ART (Porcentual sobre masa salarial)</t>
  </si>
  <si>
    <t>Seguro colectivo de vida obligatorio ($/Trabajador)</t>
  </si>
  <si>
    <t>Seguros del personal gasto anual</t>
  </si>
  <si>
    <t>Evaluación Psicofísica</t>
  </si>
  <si>
    <t>Evaluaciones psicofisicas anuales / conductor</t>
  </si>
  <si>
    <t>Precio de cada evaluacion psicofisica</t>
  </si>
  <si>
    <t>Costos por  Áreas</t>
  </si>
  <si>
    <t>Administración</t>
  </si>
  <si>
    <t>Total masa salarial (costo anual por vehículo)</t>
  </si>
  <si>
    <t>Ajuste mínimo no imponible</t>
  </si>
  <si>
    <t>Mínimo no imponible</t>
  </si>
  <si>
    <t>Costo horario</t>
  </si>
  <si>
    <t>Días calendario</t>
  </si>
  <si>
    <t>Costo anual x empresa</t>
  </si>
  <si>
    <r>
      <rPr>
        <b/>
        <sz val="8"/>
        <color rgb="FFFFFFFF"/>
        <rFont val="Calibri"/>
        <family val="2"/>
        <scheme val="minor"/>
      </rPr>
      <t>Dotación de Personal por Vehículo</t>
    </r>
  </si>
  <si>
    <r>
      <rPr>
        <b/>
        <sz val="8"/>
        <color rgb="FFFFFFFF"/>
        <rFont val="Calibri"/>
        <family val="2"/>
        <scheme val="minor"/>
      </rPr>
      <t>SGII</t>
    </r>
  </si>
  <si>
    <r>
      <rPr>
        <b/>
        <sz val="8"/>
        <color rgb="FFFFFFFF"/>
        <rFont val="Calibri"/>
        <family val="2"/>
        <scheme val="minor"/>
      </rPr>
      <t>INP</t>
    </r>
  </si>
  <si>
    <r>
      <rPr>
        <b/>
        <sz val="8"/>
        <color rgb="FFFFFFFF"/>
        <rFont val="Calibri"/>
        <family val="2"/>
        <scheme val="minor"/>
      </rPr>
      <t>UPA</t>
    </r>
  </si>
  <si>
    <r>
      <rPr>
        <b/>
        <sz val="8"/>
        <color rgb="FFFFFFFF"/>
        <rFont val="Calibri"/>
        <family val="2"/>
        <scheme val="minor"/>
      </rPr>
      <t>Categoría</t>
    </r>
  </si>
  <si>
    <r>
      <rPr>
        <b/>
        <sz val="8"/>
        <color rgb="FFFFFFFF"/>
        <rFont val="Calibri"/>
        <family val="2"/>
        <scheme val="minor"/>
      </rPr>
      <t>Dotación total</t>
    </r>
  </si>
  <si>
    <t>ANEXO 3 -RENDIMIENTOS Y CONSUMOS ESPECÍFICOS</t>
  </si>
  <si>
    <t>PASAJEROS TRANSPORTADOS</t>
  </si>
  <si>
    <t>KILOMETRAJE ANUAL RECORRIDO POR LA EMPRESA</t>
  </si>
  <si>
    <t>PARQUE MOVIL DE LA EMPRESA TIPO (vehículos)</t>
  </si>
  <si>
    <t>RECAUDACIÓN POR VENTA DE BOLETOS</t>
  </si>
  <si>
    <t>RECORRIDO PRODUCTIVO MEDIO ANUAL POR VEHICULO (Km)</t>
  </si>
  <si>
    <t>KILOMETRAJE IMPRODUCTIVO (%)</t>
  </si>
  <si>
    <t>VIDA ÚTIL DEL VEHÍCULO (en km)</t>
  </si>
  <si>
    <t>VIDA ÚTIL DEL VEHÍCULO (en años)</t>
  </si>
  <si>
    <t>VELOCIDAD COMERCIAL (Km/Hora)</t>
  </si>
  <si>
    <t>Recaudación media por KM</t>
  </si>
  <si>
    <t>Antiguedad Media del Parque</t>
  </si>
  <si>
    <r>
      <rPr>
        <b/>
        <sz val="9"/>
        <color rgb="FFFFFFFF"/>
        <rFont val="Calibri"/>
        <family val="2"/>
        <scheme val="minor"/>
      </rPr>
      <t>CARACTERÍSTICAS DE LA EMPRESA</t>
    </r>
  </si>
  <si>
    <r>
      <rPr>
        <b/>
        <sz val="9"/>
        <color rgb="FFFFFFFF"/>
        <rFont val="Calibri"/>
        <family val="2"/>
        <scheme val="minor"/>
      </rPr>
      <t>SGII</t>
    </r>
  </si>
  <si>
    <r>
      <rPr>
        <b/>
        <sz val="9"/>
        <color rgb="FFFFFFFF"/>
        <rFont val="Calibri"/>
        <family val="2"/>
        <scheme val="minor"/>
      </rPr>
      <t>INP</t>
    </r>
  </si>
  <si>
    <r>
      <rPr>
        <b/>
        <sz val="9"/>
        <color rgb="FFFFFFFF"/>
        <rFont val="Calibri"/>
        <family val="2"/>
        <scheme val="minor"/>
      </rPr>
      <t>UPA</t>
    </r>
  </si>
  <si>
    <t>ANEXO 11 - BALANCE DE COMPENSACIÓN</t>
  </si>
  <si>
    <t>Costo por km</t>
  </si>
  <si>
    <t>pas / km</t>
  </si>
  <si>
    <t>Pasajeros mensuales (prom)</t>
  </si>
  <si>
    <t>pas</t>
  </si>
  <si>
    <t>Monto a cubrir</t>
  </si>
  <si>
    <t>Compensación al gas oil</t>
  </si>
  <si>
    <t>Kilómeros Mensuales</t>
  </si>
  <si>
    <t>km</t>
  </si>
  <si>
    <t>Ingreso medio por pasajero (Im)</t>
  </si>
  <si>
    <t>Recaudación sin IVA</t>
  </si>
  <si>
    <t>Compensación Requerida</t>
  </si>
  <si>
    <r>
      <rPr>
        <b/>
        <sz val="8"/>
        <color rgb="FFFFFFFF"/>
        <rFont val="Calibri"/>
        <family val="2"/>
        <scheme val="minor"/>
      </rPr>
      <t>Variable</t>
    </r>
  </si>
  <si>
    <r>
      <rPr>
        <b/>
        <sz val="8"/>
        <color rgb="FFFFFFFF"/>
        <rFont val="Calibri"/>
        <family val="2"/>
        <scheme val="minor"/>
      </rPr>
      <t>Unidad</t>
    </r>
  </si>
  <si>
    <r>
      <rPr>
        <b/>
        <sz val="8"/>
        <color rgb="FFFFFFFF"/>
        <rFont val="Calibri"/>
        <family val="2"/>
        <scheme val="minor"/>
      </rPr>
      <t>Total</t>
    </r>
  </si>
  <si>
    <r>
      <rPr>
        <b/>
        <sz val="8"/>
        <color rgb="FFFFFFFF"/>
        <rFont val="Calibri"/>
        <family val="2"/>
        <scheme val="minor"/>
      </rPr>
      <t>SGI
$/km</t>
    </r>
  </si>
  <si>
    <r>
      <rPr>
        <b/>
        <sz val="8"/>
        <color rgb="FFFFFFFF"/>
        <rFont val="Calibri"/>
        <family val="2"/>
        <scheme val="minor"/>
      </rPr>
      <t>SGI KM
$/km</t>
    </r>
  </si>
  <si>
    <r>
      <rPr>
        <b/>
        <sz val="8"/>
        <color rgb="FFFFFFFF"/>
        <rFont val="Calibri"/>
        <family val="2"/>
        <scheme val="minor"/>
      </rPr>
      <t>SGII
$/km</t>
    </r>
  </si>
  <si>
    <r>
      <rPr>
        <b/>
        <sz val="8"/>
        <color rgb="FFFFFFFF"/>
        <rFont val="Calibri"/>
        <family val="2"/>
        <scheme val="minor"/>
      </rPr>
      <t>INP
$/km</t>
    </r>
  </si>
  <si>
    <r>
      <rPr>
        <b/>
        <sz val="8"/>
        <color rgb="FFFFFFFF"/>
        <rFont val="Calibri"/>
        <family val="2"/>
        <scheme val="minor"/>
      </rPr>
      <t>UPA
$/km</t>
    </r>
  </si>
  <si>
    <r>
      <rPr>
        <b/>
        <sz val="8"/>
        <color rgb="FFFFFFFF"/>
        <rFont val="Calibri"/>
        <family val="2"/>
        <scheme val="minor"/>
      </rPr>
      <t>UPA KM
$/km</t>
    </r>
  </si>
  <si>
    <r>
      <rPr>
        <b/>
        <sz val="8"/>
        <color rgb="FFFFFFFF"/>
        <rFont val="Calibri"/>
        <family val="2"/>
        <scheme val="minor"/>
      </rPr>
      <t>UMA 1
$/km</t>
    </r>
  </si>
  <si>
    <r>
      <rPr>
        <b/>
        <sz val="8"/>
        <color rgb="FFFFFFFF"/>
        <rFont val="Calibri"/>
        <family val="2"/>
        <scheme val="minor"/>
      </rPr>
      <t>UMA 2
$/km</t>
    </r>
  </si>
  <si>
    <t>DF
$/km</t>
  </si>
  <si>
    <r>
      <rPr>
        <b/>
        <sz val="9"/>
        <color rgb="FFFFFFFF"/>
        <rFont val="Calibri"/>
        <family val="2"/>
        <scheme val="minor"/>
      </rPr>
      <t>PARAMETROS DE CALCULO</t>
    </r>
  </si>
  <si>
    <t>Compensación Requerida Área Gran La Plata</t>
  </si>
  <si>
    <t>TOTAL COMPENSACIONES</t>
  </si>
  <si>
    <t>Iva ($/L)</t>
  </si>
  <si>
    <t xml:space="preserve">Grupo Tarifario </t>
  </si>
  <si>
    <t>%Hs Nocturnas/Hs Totales</t>
  </si>
  <si>
    <t xml:space="preserve"> Horas Totales</t>
  </si>
  <si>
    <t xml:space="preserve"> Horas nocturnas</t>
  </si>
  <si>
    <t>Factor nocturnidad</t>
  </si>
  <si>
    <t>1/(1+8minutos/60minutos)*%Hs.nocturnas)</t>
  </si>
  <si>
    <t>internos hábil</t>
  </si>
  <si>
    <t>interno feriado</t>
  </si>
  <si>
    <t>coef.corrección</t>
  </si>
  <si>
    <t>GASTO ANUAL EN SISTEMA DE CÁMARAS ($/vehículo-año)</t>
  </si>
  <si>
    <t>GO</t>
  </si>
  <si>
    <t>Grupo Tarifario
SGII              INP              UPA</t>
  </si>
  <si>
    <t xml:space="preserve">10.a. VARIABLES REPRESENTATIVAS </t>
  </si>
  <si>
    <t>% GO</t>
  </si>
  <si>
    <t>enero</t>
  </si>
  <si>
    <t>febrero</t>
  </si>
  <si>
    <t>marzo</t>
  </si>
  <si>
    <t>abril</t>
  </si>
  <si>
    <t>mayo</t>
  </si>
  <si>
    <t>diciembre</t>
  </si>
  <si>
    <t>Costo total anual</t>
  </si>
  <si>
    <t>Costo total mensual</t>
  </si>
  <si>
    <t>D.F.</t>
  </si>
  <si>
    <t xml:space="preserve">P.M. </t>
  </si>
  <si>
    <t>PRECIO CHASIS</t>
  </si>
  <si>
    <t>GNC</t>
  </si>
  <si>
    <t>PRECIO CARROC.</t>
  </si>
  <si>
    <t>julio</t>
  </si>
  <si>
    <t>UMA</t>
  </si>
  <si>
    <r>
      <rPr>
        <b/>
        <sz val="8"/>
        <rFont val="Calibri"/>
        <family val="2"/>
        <scheme val="minor"/>
      </rPr>
      <t>SGI
$/km</t>
    </r>
  </si>
  <si>
    <r>
      <rPr>
        <b/>
        <sz val="8"/>
        <rFont val="Calibri"/>
        <family val="2"/>
        <scheme val="minor"/>
      </rPr>
      <t>SGI KM
$/km</t>
    </r>
  </si>
  <si>
    <r>
      <rPr>
        <b/>
        <sz val="8"/>
        <rFont val="Calibri"/>
        <family val="2"/>
        <scheme val="minor"/>
      </rPr>
      <t>SGII
$/km</t>
    </r>
  </si>
  <si>
    <r>
      <rPr>
        <b/>
        <sz val="8"/>
        <rFont val="Calibri"/>
        <family val="2"/>
        <scheme val="minor"/>
      </rPr>
      <t>INP
$/km</t>
    </r>
  </si>
  <si>
    <r>
      <rPr>
        <b/>
        <sz val="8"/>
        <rFont val="Calibri"/>
        <family val="2"/>
        <scheme val="minor"/>
      </rPr>
      <t>UPA
$/km</t>
    </r>
  </si>
  <si>
    <r>
      <rPr>
        <b/>
        <sz val="8"/>
        <rFont val="Calibri"/>
        <family val="2"/>
        <scheme val="minor"/>
      </rPr>
      <t>UPA KM
$/km</t>
    </r>
  </si>
  <si>
    <r>
      <rPr>
        <b/>
        <sz val="8"/>
        <rFont val="Calibri"/>
        <family val="2"/>
        <scheme val="minor"/>
      </rPr>
      <t>UMA 1
$/km</t>
    </r>
  </si>
  <si>
    <r>
      <rPr>
        <b/>
        <sz val="8"/>
        <rFont val="Calibri"/>
        <family val="2"/>
        <scheme val="minor"/>
      </rPr>
      <t>UMA 2
$/km</t>
    </r>
  </si>
  <si>
    <t>PORCENTAJE DE INCIDENCIA DE CADA RUBRO EN EL COSTO/KM</t>
  </si>
  <si>
    <t>VARIACION PORCENTUAL POR RUBRO COSTO/KM. OCTUBRE 2025/ OCTUBRE2024</t>
  </si>
  <si>
    <t>VARIACION PORCENTUAL POR RUBRO COSTO/KM. OCTUBRE 2025/ JUNIO 2025</t>
  </si>
  <si>
    <t>ESTIMACION INFLACION PERIODO JUNIO 2025 - OCTUBRE 2025</t>
  </si>
  <si>
    <t>ESTIMACION INFLACION PERIODO OCTUBRE 2024 - OCTUBRE 2025</t>
  </si>
  <si>
    <r>
      <rPr>
        <b/>
        <sz val="11"/>
        <rFont val="Arial"/>
        <family val="2"/>
      </rPr>
      <t xml:space="preserve">ANEXO 10 - RESUMEN DE COSTOS
</t>
    </r>
    <r>
      <rPr>
        <b/>
        <sz val="11"/>
        <color rgb="FF000000"/>
        <rFont val="Arial"/>
        <family val="2"/>
      </rPr>
      <t>OCTUBRE 2025</t>
    </r>
  </si>
  <si>
    <t>Diferenciales y Redeterminaciones - Cuota 4/4</t>
  </si>
  <si>
    <t>Previsión Paritarias Jul-Oct 2025 - Cuota 4/4</t>
  </si>
  <si>
    <t>SG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</si>
</sst>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8" formatCode="&quot;$&quot;\ #,##0.00;[Red]\-&quot;$&quot;\ #,##0.00"/>
    <numFmt numFmtId="43" formatCode="_-* #,##0.00_-;\-* #,##0.00_-;_-* &quot;-&quot;??_-;_-@_-"/>
    <numFmt numFmtId="164" formatCode="_ * #,##0.00_ ;_ * \-#,##0.00_ ;_ * &quot;-&quot;??_ ;_ @_ "/>
    <numFmt numFmtId="165" formatCode="0.000"/>
    <numFmt numFmtId="166" formatCode="#,##0.000"/>
    <numFmt numFmtId="167" formatCode="&quot;$&quot;\ #,##0.00"/>
    <numFmt numFmtId="168" formatCode="&quot;$&quot;\ #,##0"/>
    <numFmt numFmtId="169" formatCode="0.0000"/>
    <numFmt numFmtId="170" formatCode="0.00000000"/>
    <numFmt numFmtId="171" formatCode="0.00000"/>
    <numFmt numFmtId="172" formatCode="#,##0.0000"/>
    <numFmt numFmtId="173" formatCode="_-* #,##0\ _P_t_s_-;\-* #,##0\ _P_t_s_-;_-* &quot;-&quot;\ _P_t_s_-;_-@_-"/>
    <numFmt numFmtId="174" formatCode="_-* #,##0.00\ _P_t_s_-;\-* #,##0.00\ _P_t_s_-;_-* &quot;-&quot;??\ _P_t_s_-;_-@_-"/>
    <numFmt numFmtId="175" formatCode="&quot;$&quot;\ #,##0.000"/>
    <numFmt numFmtId="176" formatCode="&quot;$&quot;\ #,##0.0000"/>
    <numFmt numFmtId="177" formatCode="0.000%"/>
    <numFmt numFmtId="178" formatCode="0.0000%"/>
    <numFmt numFmtId="179" formatCode="0.0000000"/>
    <numFmt numFmtId="180" formatCode="0.000000"/>
    <numFmt numFmtId="181" formatCode="&quot;$&quot;\ #,##0.000000"/>
    <numFmt numFmtId="182" formatCode="0.0"/>
    <numFmt numFmtId="183" formatCode="#,##0.000000000"/>
    <numFmt numFmtId="184" formatCode="#,##0.000000000000"/>
    <numFmt numFmtId="185" formatCode="&quot;$&quot;\ #,##0.000000000"/>
    <numFmt numFmtId="186" formatCode="&quot;$&quot;\ #,##0.0"/>
    <numFmt numFmtId="187" formatCode="&quot;$&quot;\ #,##0.00000000000000"/>
    <numFmt numFmtId="188" formatCode="&quot;$&quot;\ #,##0.0000000"/>
    <numFmt numFmtId="189" formatCode="#,##0.00000"/>
    <numFmt numFmtId="190" formatCode="&quot;$&quot;#,##0.00"/>
    <numFmt numFmtId="191" formatCode="&quot;$&quot;#,##0"/>
    <numFmt numFmtId="192" formatCode="&quot;$&quot;#,##0.000000"/>
    <numFmt numFmtId="193" formatCode="0E+00"/>
    <numFmt numFmtId="194" formatCode="&quot;$&quot;#,##0.000"/>
    <numFmt numFmtId="195" formatCode="&quot;$&quot;#,##0.00000"/>
    <numFmt numFmtId="196" formatCode="&quot;$&quot;\ #,##0.00000000"/>
  </numFmts>
  <fonts count="7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b/>
      <sz val="8"/>
      <name val="Arial"/>
      <family val="2"/>
    </font>
    <font>
      <sz val="11"/>
      <name val="Times New Roman"/>
      <family val="1"/>
    </font>
    <font>
      <b/>
      <sz val="8"/>
      <color rgb="FFFFFFFF"/>
      <name val="Arial"/>
      <family val="2"/>
    </font>
    <font>
      <b/>
      <sz val="8.5"/>
      <name val="Arial"/>
      <family val="2"/>
    </font>
    <font>
      <b/>
      <sz val="8.5"/>
      <color rgb="FFFFFFFF"/>
      <name val="Arial"/>
      <family val="2"/>
    </font>
    <font>
      <sz val="8.5"/>
      <name val="Arial"/>
      <family val="2"/>
    </font>
    <font>
      <b/>
      <sz val="9"/>
      <name val="Arial"/>
      <family val="2"/>
    </font>
    <font>
      <b/>
      <sz val="6.5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6"/>
      <name val="Arial"/>
      <family val="2"/>
    </font>
    <font>
      <b/>
      <sz val="6"/>
      <color rgb="FFFFFFFF"/>
      <name val="Arial"/>
      <family val="2"/>
    </font>
    <font>
      <b/>
      <i/>
      <sz val="6"/>
      <name val="Arial-BoldItalicMT"/>
    </font>
    <font>
      <sz val="7"/>
      <color rgb="FF000000"/>
      <name val="Arial"/>
      <family val="2"/>
    </font>
    <font>
      <sz val="6"/>
      <name val="Arial"/>
      <family val="2"/>
    </font>
    <font>
      <b/>
      <sz val="7"/>
      <color rgb="FF000000"/>
      <name val="Arial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b/>
      <sz val="9"/>
      <color rgb="FF00000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9"/>
      <color rgb="FFFFFFFF"/>
      <name val="Arial"/>
      <family val="2"/>
    </font>
    <font>
      <sz val="10"/>
      <name val="Arial"/>
      <family val="2"/>
    </font>
    <font>
      <b/>
      <vertAlign val="superscript"/>
      <sz val="8"/>
      <color rgb="FFFFFFFF"/>
      <name val="Arial"/>
      <family val="2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rgb="FF000000"/>
      <name val="Calibri"/>
      <family val="2"/>
    </font>
    <font>
      <b/>
      <sz val="10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FFFFFF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theme="1"/>
      <name val="Arial"/>
      <family val="2"/>
    </font>
    <font>
      <sz val="5.5"/>
      <color theme="1"/>
      <name val="Arial"/>
      <family val="2"/>
    </font>
    <font>
      <sz val="5"/>
      <color theme="1"/>
      <name val="Times New Roman"/>
      <family val="1"/>
    </font>
    <font>
      <sz val="4"/>
      <color theme="1"/>
      <name val="Times New Roman"/>
      <family val="1"/>
    </font>
    <font>
      <b/>
      <sz val="6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Arial"/>
      <family val="2"/>
    </font>
    <font>
      <b/>
      <sz val="8"/>
      <color rgb="FFFFFFFF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b/>
      <i/>
      <sz val="8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sz val="10"/>
      <color rgb="FF000000"/>
      <name val="Times New Roman"/>
      <family val="1"/>
    </font>
    <font>
      <sz val="7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7"/>
      <color rgb="FF000000"/>
      <name val="Calibri"/>
      <family val="2"/>
    </font>
    <font>
      <sz val="9"/>
      <name val="Times New Roman"/>
      <family val="1"/>
    </font>
    <font>
      <b/>
      <sz val="9"/>
      <color rgb="FF000000"/>
      <name val="Times New Roman"/>
      <family val="1"/>
    </font>
    <font>
      <b/>
      <sz val="6"/>
      <name val="Arial-BoldItalicMT"/>
    </font>
    <font>
      <sz val="7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5">
    <xf numFmtId="0" fontId="0" fillId="0" borderId="0"/>
    <xf numFmtId="0" fontId="26" fillId="0" borderId="0"/>
    <xf numFmtId="0" fontId="35" fillId="0" borderId="0"/>
    <xf numFmtId="9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4" fontId="2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39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6" fillId="0" borderId="0"/>
    <xf numFmtId="43" fontId="62" fillId="0" borderId="0" applyFont="0" applyFill="0" applyBorder="0" applyAlignment="0" applyProtection="0"/>
  </cellStyleXfs>
  <cellXfs count="73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 indent="2"/>
    </xf>
    <xf numFmtId="0" fontId="13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top" wrapText="1" indent="2"/>
    </xf>
    <xf numFmtId="0" fontId="15" fillId="0" borderId="2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 indent="4"/>
    </xf>
    <xf numFmtId="0" fontId="16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 indent="4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wrapText="1"/>
    </xf>
    <xf numFmtId="167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top"/>
    </xf>
    <xf numFmtId="166" fontId="22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 wrapText="1"/>
    </xf>
    <xf numFmtId="170" fontId="30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3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top"/>
    </xf>
    <xf numFmtId="0" fontId="9" fillId="2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3" fillId="0" borderId="0" xfId="0" applyFont="1"/>
    <xf numFmtId="0" fontId="22" fillId="0" borderId="0" xfId="0" applyFont="1" applyAlignment="1">
      <alignment horizontal="center" vertical="center"/>
    </xf>
    <xf numFmtId="3" fontId="2" fillId="7" borderId="2" xfId="0" applyNumberFormat="1" applyFont="1" applyFill="1" applyBorder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 wrapText="1"/>
    </xf>
    <xf numFmtId="169" fontId="27" fillId="6" borderId="2" xfId="0" applyNumberFormat="1" applyFont="1" applyFill="1" applyBorder="1" applyAlignment="1">
      <alignment horizontal="center" vertical="center" wrapText="1"/>
    </xf>
    <xf numFmtId="2" fontId="22" fillId="6" borderId="2" xfId="0" applyNumberFormat="1" applyFont="1" applyFill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2" fontId="22" fillId="6" borderId="2" xfId="0" applyNumberFormat="1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2" fontId="22" fillId="6" borderId="34" xfId="0" applyNumberFormat="1" applyFont="1" applyFill="1" applyBorder="1" applyAlignment="1">
      <alignment horizontal="center" vertical="center" wrapText="1"/>
    </xf>
    <xf numFmtId="169" fontId="27" fillId="7" borderId="2" xfId="0" applyNumberFormat="1" applyFont="1" applyFill="1" applyBorder="1" applyAlignment="1">
      <alignment horizontal="center" vertical="center" wrapText="1"/>
    </xf>
    <xf numFmtId="169" fontId="27" fillId="7" borderId="2" xfId="0" applyNumberFormat="1" applyFont="1" applyFill="1" applyBorder="1" applyAlignment="1">
      <alignment horizontal="center" vertical="top" wrapText="1"/>
    </xf>
    <xf numFmtId="169" fontId="27" fillId="7" borderId="34" xfId="0" applyNumberFormat="1" applyFont="1" applyFill="1" applyBorder="1" applyAlignment="1">
      <alignment horizontal="center" vertical="top" wrapText="1"/>
    </xf>
    <xf numFmtId="8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9" fontId="27" fillId="6" borderId="34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left" vertical="top"/>
    </xf>
    <xf numFmtId="167" fontId="0" fillId="0" borderId="0" xfId="0" applyNumberFormat="1" applyAlignment="1">
      <alignment horizontal="center" vertical="center"/>
    </xf>
    <xf numFmtId="0" fontId="37" fillId="0" borderId="0" xfId="0" applyFont="1" applyAlignment="1">
      <alignment horizontal="left" vertical="top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top"/>
    </xf>
    <xf numFmtId="0" fontId="6" fillId="0" borderId="21" xfId="0" applyFont="1" applyBorder="1" applyAlignment="1">
      <alignment horizontal="center" vertical="center" wrapText="1"/>
    </xf>
    <xf numFmtId="2" fontId="22" fillId="6" borderId="22" xfId="0" applyNumberFormat="1" applyFont="1" applyFill="1" applyBorder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3" fontId="0" fillId="0" borderId="0" xfId="0" applyNumberFormat="1" applyAlignment="1">
      <alignment horizontal="left" wrapText="1"/>
    </xf>
    <xf numFmtId="1" fontId="21" fillId="7" borderId="2" xfId="0" applyNumberFormat="1" applyFont="1" applyFill="1" applyBorder="1" applyAlignment="1">
      <alignment horizontal="center" vertical="top" shrinkToFi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top"/>
    </xf>
    <xf numFmtId="1" fontId="21" fillId="6" borderId="2" xfId="0" applyNumberFormat="1" applyFont="1" applyFill="1" applyBorder="1" applyAlignment="1">
      <alignment horizontal="center" vertical="top" shrinkToFit="1"/>
    </xf>
    <xf numFmtId="2" fontId="2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top"/>
    </xf>
    <xf numFmtId="0" fontId="15" fillId="0" borderId="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top"/>
    </xf>
    <xf numFmtId="0" fontId="27" fillId="0" borderId="2" xfId="0" applyFont="1" applyBorder="1" applyAlignment="1">
      <alignment horizontal="center" vertical="top" wrapText="1"/>
    </xf>
    <xf numFmtId="0" fontId="28" fillId="2" borderId="0" xfId="0" applyFont="1" applyFill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7" fillId="2" borderId="29" xfId="0" applyFont="1" applyFill="1" applyBorder="1" applyAlignment="1">
      <alignment vertical="top" wrapText="1"/>
    </xf>
    <xf numFmtId="0" fontId="0" fillId="2" borderId="24" xfId="0" applyFill="1" applyBorder="1" applyAlignment="1">
      <alignment vertical="top" wrapText="1"/>
    </xf>
    <xf numFmtId="0" fontId="0" fillId="2" borderId="30" xfId="0" applyFill="1" applyBorder="1" applyAlignment="1">
      <alignment vertical="top" wrapText="1"/>
    </xf>
    <xf numFmtId="0" fontId="5" fillId="9" borderId="0" xfId="13" applyFont="1" applyFill="1" applyAlignment="1">
      <alignment horizontal="center" vertical="center" wrapText="1"/>
    </xf>
    <xf numFmtId="0" fontId="46" fillId="0" borderId="0" xfId="13"/>
    <xf numFmtId="0" fontId="46" fillId="0" borderId="0" xfId="13" applyAlignment="1">
      <alignment horizontal="center"/>
    </xf>
    <xf numFmtId="0" fontId="47" fillId="0" borderId="10" xfId="13" applyFont="1" applyBorder="1" applyAlignment="1">
      <alignment horizontal="center" vertical="center" wrapText="1"/>
    </xf>
    <xf numFmtId="0" fontId="47" fillId="0" borderId="10" xfId="13" applyFont="1" applyBorder="1" applyAlignment="1">
      <alignment vertical="center" wrapText="1"/>
    </xf>
    <xf numFmtId="0" fontId="49" fillId="0" borderId="10" xfId="13" applyFont="1" applyBorder="1" applyAlignment="1">
      <alignment horizontal="center" vertical="center" wrapText="1"/>
    </xf>
    <xf numFmtId="0" fontId="50" fillId="0" borderId="10" xfId="13" applyFont="1" applyBorder="1" applyAlignment="1">
      <alignment horizontal="center" vertical="center" wrapText="1"/>
    </xf>
    <xf numFmtId="0" fontId="46" fillId="0" borderId="10" xfId="13" applyBorder="1" applyAlignment="1">
      <alignment horizontal="center"/>
    </xf>
    <xf numFmtId="10" fontId="48" fillId="7" borderId="10" xfId="13" applyNumberFormat="1" applyFont="1" applyFill="1" applyBorder="1" applyAlignment="1">
      <alignment horizontal="center" vertical="center" wrapText="1"/>
    </xf>
    <xf numFmtId="1" fontId="47" fillId="6" borderId="10" xfId="13" applyNumberFormat="1" applyFont="1" applyFill="1" applyBorder="1" applyAlignment="1">
      <alignment horizontal="center" vertical="center" wrapText="1"/>
    </xf>
    <xf numFmtId="4" fontId="47" fillId="6" borderId="10" xfId="13" applyNumberFormat="1" applyFont="1" applyFill="1" applyBorder="1" applyAlignment="1">
      <alignment horizontal="center" vertical="center" wrapText="1"/>
    </xf>
    <xf numFmtId="0" fontId="52" fillId="0" borderId="0" xfId="13" applyFont="1"/>
    <xf numFmtId="167" fontId="52" fillId="0" borderId="0" xfId="13" applyNumberFormat="1" applyFont="1" applyAlignment="1">
      <alignment horizontal="center" vertical="center"/>
    </xf>
    <xf numFmtId="0" fontId="52" fillId="0" borderId="0" xfId="13" applyFont="1" applyAlignment="1">
      <alignment horizontal="center"/>
    </xf>
    <xf numFmtId="0" fontId="46" fillId="0" borderId="0" xfId="13" applyAlignment="1">
      <alignment horizontal="center" vertical="center"/>
    </xf>
    <xf numFmtId="0" fontId="52" fillId="0" borderId="0" xfId="13" applyFont="1" applyAlignment="1">
      <alignment vertical="center"/>
    </xf>
    <xf numFmtId="167" fontId="53" fillId="0" borderId="0" xfId="13" applyNumberFormat="1" applyFont="1" applyAlignment="1">
      <alignment horizontal="center" vertical="center"/>
    </xf>
    <xf numFmtId="2" fontId="52" fillId="0" borderId="0" xfId="13" applyNumberFormat="1" applyFont="1"/>
    <xf numFmtId="0" fontId="47" fillId="7" borderId="10" xfId="13" applyFont="1" applyFill="1" applyBorder="1" applyAlignment="1">
      <alignment horizontal="center" vertical="center" wrapText="1"/>
    </xf>
    <xf numFmtId="167" fontId="38" fillId="0" borderId="0" xfId="13" applyNumberFormat="1" applyFont="1" applyAlignment="1">
      <alignment horizontal="center" vertical="center"/>
    </xf>
    <xf numFmtId="0" fontId="27" fillId="6" borderId="2" xfId="0" applyFont="1" applyFill="1" applyBorder="1" applyAlignment="1">
      <alignment horizontal="center" vertical="center" wrapText="1"/>
    </xf>
    <xf numFmtId="165" fontId="37" fillId="0" borderId="0" xfId="0" applyNumberFormat="1" applyFont="1" applyAlignment="1">
      <alignment horizontal="left" vertical="top"/>
    </xf>
    <xf numFmtId="0" fontId="30" fillId="0" borderId="0" xfId="0" applyFont="1" applyAlignment="1">
      <alignment horizontal="left" vertical="top"/>
    </xf>
    <xf numFmtId="0" fontId="54" fillId="0" borderId="1" xfId="0" applyFont="1" applyBorder="1" applyAlignment="1">
      <alignment horizontal="left" vertical="top" wrapText="1"/>
    </xf>
    <xf numFmtId="2" fontId="54" fillId="6" borderId="1" xfId="0" applyNumberFormat="1" applyFont="1" applyFill="1" applyBorder="1" applyAlignment="1">
      <alignment horizontal="center" vertical="center" wrapText="1"/>
    </xf>
    <xf numFmtId="0" fontId="54" fillId="0" borderId="2" xfId="0" applyFont="1" applyBorder="1" applyAlignment="1">
      <alignment horizontal="left" vertical="top" wrapText="1"/>
    </xf>
    <xf numFmtId="2" fontId="54" fillId="7" borderId="2" xfId="0" applyNumberFormat="1" applyFont="1" applyFill="1" applyBorder="1" applyAlignment="1">
      <alignment horizontal="center" vertical="center" wrapText="1"/>
    </xf>
    <xf numFmtId="0" fontId="54" fillId="7" borderId="2" xfId="0" applyFont="1" applyFill="1" applyBorder="1" applyAlignment="1">
      <alignment horizontal="center" vertical="center" wrapText="1"/>
    </xf>
    <xf numFmtId="169" fontId="54" fillId="6" borderId="2" xfId="0" applyNumberFormat="1" applyFont="1" applyFill="1" applyBorder="1" applyAlignment="1">
      <alignment horizontal="center" vertical="center" wrapText="1"/>
    </xf>
    <xf numFmtId="165" fontId="54" fillId="6" borderId="2" xfId="0" applyNumberFormat="1" applyFont="1" applyFill="1" applyBorder="1" applyAlignment="1">
      <alignment horizontal="center" vertical="center" wrapText="1"/>
    </xf>
    <xf numFmtId="171" fontId="54" fillId="6" borderId="2" xfId="0" applyNumberFormat="1" applyFont="1" applyFill="1" applyBorder="1" applyAlignment="1">
      <alignment horizontal="center" vertical="center" wrapText="1"/>
    </xf>
    <xf numFmtId="1" fontId="37" fillId="7" borderId="2" xfId="0" applyNumberFormat="1" applyFont="1" applyFill="1" applyBorder="1" applyAlignment="1">
      <alignment horizontal="center" vertical="center" shrinkToFit="1"/>
    </xf>
    <xf numFmtId="1" fontId="37" fillId="0" borderId="0" xfId="0" applyNumberFormat="1" applyFont="1" applyAlignment="1">
      <alignment horizontal="left" vertical="center" wrapText="1"/>
    </xf>
    <xf numFmtId="1" fontId="37" fillId="6" borderId="2" xfId="0" applyNumberFormat="1" applyFont="1" applyFill="1" applyBorder="1" applyAlignment="1">
      <alignment horizontal="center" vertical="center" shrinkToFit="1"/>
    </xf>
    <xf numFmtId="1" fontId="54" fillId="7" borderId="2" xfId="0" applyNumberFormat="1" applyFont="1" applyFill="1" applyBorder="1" applyAlignment="1">
      <alignment horizontal="center" vertical="center" wrapText="1"/>
    </xf>
    <xf numFmtId="2" fontId="54" fillId="6" borderId="2" xfId="0" applyNumberFormat="1" applyFont="1" applyFill="1" applyBorder="1" applyAlignment="1">
      <alignment horizontal="center" vertical="center" wrapText="1"/>
    </xf>
    <xf numFmtId="0" fontId="54" fillId="6" borderId="2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41" fillId="0" borderId="0" xfId="0" applyFont="1" applyAlignment="1">
      <alignment vertical="center"/>
    </xf>
    <xf numFmtId="165" fontId="42" fillId="6" borderId="10" xfId="0" applyNumberFormat="1" applyFont="1" applyFill="1" applyBorder="1" applyAlignment="1">
      <alignment horizontal="center" vertical="center"/>
    </xf>
    <xf numFmtId="165" fontId="27" fillId="7" borderId="2" xfId="0" applyNumberFormat="1" applyFont="1" applyFill="1" applyBorder="1" applyAlignment="1">
      <alignment horizontal="center" vertical="center" wrapText="1"/>
    </xf>
    <xf numFmtId="165" fontId="22" fillId="7" borderId="2" xfId="0" applyNumberFormat="1" applyFont="1" applyFill="1" applyBorder="1" applyAlignment="1">
      <alignment horizontal="left" vertical="center" wrapText="1"/>
    </xf>
    <xf numFmtId="165" fontId="22" fillId="7" borderId="34" xfId="0" applyNumberFormat="1" applyFont="1" applyFill="1" applyBorder="1" applyAlignment="1">
      <alignment horizontal="left" vertical="center" wrapText="1"/>
    </xf>
    <xf numFmtId="3" fontId="11" fillId="6" borderId="22" xfId="0" applyNumberFormat="1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2" fontId="22" fillId="6" borderId="46" xfId="0" applyNumberFormat="1" applyFont="1" applyFill="1" applyBorder="1" applyAlignment="1">
      <alignment horizontal="left" vertical="center" wrapText="1"/>
    </xf>
    <xf numFmtId="0" fontId="6" fillId="0" borderId="48" xfId="0" applyFont="1" applyBorder="1" applyAlignment="1">
      <alignment horizontal="center" vertical="center" wrapText="1"/>
    </xf>
    <xf numFmtId="2" fontId="22" fillId="6" borderId="49" xfId="0" applyNumberFormat="1" applyFont="1" applyFill="1" applyBorder="1" applyAlignment="1">
      <alignment horizontal="left" vertical="center" wrapText="1"/>
    </xf>
    <xf numFmtId="171" fontId="27" fillId="6" borderId="13" xfId="0" applyNumberFormat="1" applyFont="1" applyFill="1" applyBorder="1" applyAlignment="1">
      <alignment horizontal="center" vertical="center"/>
    </xf>
    <xf numFmtId="171" fontId="27" fillId="6" borderId="14" xfId="0" applyNumberFormat="1" applyFont="1" applyFill="1" applyBorder="1" applyAlignment="1">
      <alignment horizontal="center" vertical="center"/>
    </xf>
    <xf numFmtId="0" fontId="27" fillId="0" borderId="50" xfId="0" applyFont="1" applyBorder="1" applyAlignment="1">
      <alignment horizontal="left" vertical="center" wrapText="1"/>
    </xf>
    <xf numFmtId="0" fontId="28" fillId="0" borderId="54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8" fillId="0" borderId="57" xfId="0" applyFont="1" applyBorder="1" applyAlignment="1">
      <alignment horizontal="left" vertical="center" wrapText="1"/>
    </xf>
    <xf numFmtId="167" fontId="27" fillId="6" borderId="2" xfId="0" applyNumberFormat="1" applyFont="1" applyFill="1" applyBorder="1" applyAlignment="1">
      <alignment horizontal="center" vertical="center" wrapText="1"/>
    </xf>
    <xf numFmtId="167" fontId="28" fillId="10" borderId="55" xfId="0" applyNumberFormat="1" applyFont="1" applyFill="1" applyBorder="1" applyAlignment="1">
      <alignment horizontal="center" vertical="center" wrapText="1"/>
    </xf>
    <xf numFmtId="167" fontId="28" fillId="10" borderId="56" xfId="0" applyNumberFormat="1" applyFont="1" applyFill="1" applyBorder="1" applyAlignment="1">
      <alignment horizontal="center" vertical="center" wrapText="1"/>
    </xf>
    <xf numFmtId="167" fontId="55" fillId="6" borderId="2" xfId="0" applyNumberFormat="1" applyFont="1" applyFill="1" applyBorder="1" applyAlignment="1">
      <alignment horizontal="center" vertical="center" wrapText="1"/>
    </xf>
    <xf numFmtId="167" fontId="54" fillId="6" borderId="2" xfId="0" applyNumberFormat="1" applyFont="1" applyFill="1" applyBorder="1" applyAlignment="1">
      <alignment horizontal="center" vertical="center" wrapText="1"/>
    </xf>
    <xf numFmtId="167" fontId="44" fillId="6" borderId="18" xfId="0" applyNumberFormat="1" applyFont="1" applyFill="1" applyBorder="1" applyAlignment="1">
      <alignment horizontal="center" vertical="center"/>
    </xf>
    <xf numFmtId="167" fontId="44" fillId="6" borderId="40" xfId="0" applyNumberFormat="1" applyFont="1" applyFill="1" applyBorder="1" applyAlignment="1">
      <alignment horizontal="center" vertical="center" shrinkToFit="1"/>
    </xf>
    <xf numFmtId="167" fontId="55" fillId="10" borderId="2" xfId="0" applyNumberFormat="1" applyFont="1" applyFill="1" applyBorder="1" applyAlignment="1">
      <alignment horizontal="center" vertical="center" wrapText="1"/>
    </xf>
    <xf numFmtId="167" fontId="55" fillId="10" borderId="58" xfId="0" applyNumberFormat="1" applyFont="1" applyFill="1" applyBorder="1" applyAlignment="1">
      <alignment horizontal="center" vertical="center" wrapText="1"/>
    </xf>
    <xf numFmtId="175" fontId="44" fillId="6" borderId="1" xfId="0" applyNumberFormat="1" applyFont="1" applyFill="1" applyBorder="1" applyAlignment="1">
      <alignment horizontal="center" vertical="center" shrinkToFit="1"/>
    </xf>
    <xf numFmtId="175" fontId="55" fillId="6" borderId="2" xfId="0" applyNumberFormat="1" applyFont="1" applyFill="1" applyBorder="1" applyAlignment="1">
      <alignment horizontal="center" vertical="center" wrapText="1"/>
    </xf>
    <xf numFmtId="175" fontId="44" fillId="6" borderId="2" xfId="0" applyNumberFormat="1" applyFont="1" applyFill="1" applyBorder="1" applyAlignment="1">
      <alignment horizontal="center" vertical="center" shrinkToFit="1"/>
    </xf>
    <xf numFmtId="175" fontId="44" fillId="6" borderId="8" xfId="0" applyNumberFormat="1" applyFont="1" applyFill="1" applyBorder="1" applyAlignment="1">
      <alignment horizontal="center" vertical="center" shrinkToFit="1"/>
    </xf>
    <xf numFmtId="165" fontId="55" fillId="10" borderId="2" xfId="0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167" fontId="11" fillId="6" borderId="2" xfId="0" applyNumberFormat="1" applyFont="1" applyFill="1" applyBorder="1" applyAlignment="1">
      <alignment horizontal="center" vertical="top" wrapText="1"/>
    </xf>
    <xf numFmtId="165" fontId="27" fillId="6" borderId="10" xfId="0" applyNumberFormat="1" applyFont="1" applyFill="1" applyBorder="1" applyAlignment="1">
      <alignment horizontal="center" vertical="center"/>
    </xf>
    <xf numFmtId="165" fontId="27" fillId="6" borderId="16" xfId="0" applyNumberFormat="1" applyFont="1" applyFill="1" applyBorder="1" applyAlignment="1">
      <alignment horizontal="center" vertical="center"/>
    </xf>
    <xf numFmtId="2" fontId="27" fillId="6" borderId="2" xfId="0" applyNumberFormat="1" applyFont="1" applyFill="1" applyBorder="1" applyAlignment="1">
      <alignment horizontal="center" vertical="center" wrapText="1"/>
    </xf>
    <xf numFmtId="165" fontId="27" fillId="6" borderId="38" xfId="0" applyNumberFormat="1" applyFont="1" applyFill="1" applyBorder="1" applyAlignment="1">
      <alignment horizontal="center" vertical="center"/>
    </xf>
    <xf numFmtId="165" fontId="27" fillId="6" borderId="39" xfId="0" applyNumberFormat="1" applyFont="1" applyFill="1" applyBorder="1" applyAlignment="1">
      <alignment horizontal="center" vertical="center"/>
    </xf>
    <xf numFmtId="165" fontId="22" fillId="6" borderId="8" xfId="0" applyNumberFormat="1" applyFont="1" applyFill="1" applyBorder="1" applyAlignment="1">
      <alignment horizontal="left" vertical="center" wrapText="1"/>
    </xf>
    <xf numFmtId="165" fontId="27" fillId="6" borderId="11" xfId="0" applyNumberFormat="1" applyFont="1" applyFill="1" applyBorder="1" applyAlignment="1">
      <alignment horizontal="center" vertical="center"/>
    </xf>
    <xf numFmtId="165" fontId="27" fillId="6" borderId="36" xfId="0" applyNumberFormat="1" applyFont="1" applyFill="1" applyBorder="1" applyAlignment="1">
      <alignment horizontal="center" vertical="center"/>
    </xf>
    <xf numFmtId="175" fontId="27" fillId="6" borderId="20" xfId="0" applyNumberFormat="1" applyFont="1" applyFill="1" applyBorder="1" applyAlignment="1">
      <alignment horizontal="center" vertical="center"/>
    </xf>
    <xf numFmtId="175" fontId="27" fillId="6" borderId="28" xfId="0" applyNumberFormat="1" applyFont="1" applyFill="1" applyBorder="1" applyAlignment="1">
      <alignment horizontal="center" vertical="center"/>
    </xf>
    <xf numFmtId="175" fontId="22" fillId="6" borderId="22" xfId="0" applyNumberFormat="1" applyFont="1" applyFill="1" applyBorder="1" applyAlignment="1">
      <alignment horizontal="left" vertical="center" wrapText="1"/>
    </xf>
    <xf numFmtId="175" fontId="22" fillId="6" borderId="22" xfId="0" applyNumberFormat="1" applyFont="1" applyFill="1" applyBorder="1" applyAlignment="1">
      <alignment horizontal="center" vertical="center" wrapText="1"/>
    </xf>
    <xf numFmtId="175" fontId="22" fillId="6" borderId="23" xfId="0" applyNumberFormat="1" applyFont="1" applyFill="1" applyBorder="1" applyAlignment="1">
      <alignment horizontal="center" vertical="center" wrapText="1"/>
    </xf>
    <xf numFmtId="175" fontId="27" fillId="6" borderId="11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8" fillId="6" borderId="59" xfId="0" applyFont="1" applyFill="1" applyBorder="1" applyAlignment="1">
      <alignment vertical="top" wrapText="1"/>
    </xf>
    <xf numFmtId="166" fontId="22" fillId="6" borderId="51" xfId="0" applyNumberFormat="1" applyFont="1" applyFill="1" applyBorder="1" applyAlignment="1">
      <alignment horizontal="center" vertical="center" shrinkToFit="1"/>
    </xf>
    <xf numFmtId="166" fontId="22" fillId="6" borderId="52" xfId="0" applyNumberFormat="1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wrapText="1"/>
    </xf>
    <xf numFmtId="0" fontId="8" fillId="6" borderId="60" xfId="0" applyFont="1" applyFill="1" applyBorder="1" applyAlignment="1">
      <alignment vertical="top" wrapText="1"/>
    </xf>
    <xf numFmtId="165" fontId="29" fillId="6" borderId="18" xfId="1" applyNumberFormat="1" applyFont="1" applyFill="1" applyBorder="1" applyAlignment="1">
      <alignment horizontal="center" vertical="center"/>
    </xf>
    <xf numFmtId="165" fontId="29" fillId="6" borderId="19" xfId="1" applyNumberFormat="1" applyFont="1" applyFill="1" applyBorder="1" applyAlignment="1">
      <alignment horizontal="center" vertical="center"/>
    </xf>
    <xf numFmtId="0" fontId="34" fillId="2" borderId="29" xfId="0" applyFont="1" applyFill="1" applyBorder="1" applyAlignment="1">
      <alignment vertical="top"/>
    </xf>
    <xf numFmtId="0" fontId="8" fillId="2" borderId="61" xfId="0" applyFont="1" applyFill="1" applyBorder="1" applyAlignment="1">
      <alignment horizontal="left" vertical="center"/>
    </xf>
    <xf numFmtId="0" fontId="34" fillId="2" borderId="54" xfId="0" applyFont="1" applyFill="1" applyBorder="1" applyAlignment="1">
      <alignment vertical="center"/>
    </xf>
    <xf numFmtId="0" fontId="9" fillId="2" borderId="61" xfId="0" applyFont="1" applyFill="1" applyBorder="1" applyAlignment="1">
      <alignment horizontal="center" vertical="center" wrapText="1"/>
    </xf>
    <xf numFmtId="0" fontId="9" fillId="2" borderId="62" xfId="0" applyFont="1" applyFill="1" applyBorder="1" applyAlignment="1">
      <alignment horizontal="center" vertical="center" wrapText="1"/>
    </xf>
    <xf numFmtId="3" fontId="11" fillId="6" borderId="62" xfId="0" applyNumberFormat="1" applyFont="1" applyFill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1" fontId="37" fillId="0" borderId="2" xfId="0" applyNumberFormat="1" applyFont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7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top" wrapText="1"/>
    </xf>
    <xf numFmtId="2" fontId="27" fillId="6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wrapText="1"/>
    </xf>
    <xf numFmtId="0" fontId="27" fillId="0" borderId="2" xfId="0" applyFont="1" applyBorder="1" applyAlignment="1">
      <alignment horizontal="left" vertical="top" wrapText="1"/>
    </xf>
    <xf numFmtId="1" fontId="22" fillId="6" borderId="2" xfId="0" applyNumberFormat="1" applyFont="1" applyFill="1" applyBorder="1" applyAlignment="1">
      <alignment horizontal="center" vertical="center" shrinkToFit="1"/>
    </xf>
    <xf numFmtId="167" fontId="27" fillId="6" borderId="1" xfId="0" applyNumberFormat="1" applyFont="1" applyFill="1" applyBorder="1" applyAlignment="1">
      <alignment horizontal="center" vertical="top" wrapText="1"/>
    </xf>
    <xf numFmtId="0" fontId="22" fillId="0" borderId="2" xfId="0" applyFont="1" applyBorder="1" applyAlignment="1">
      <alignment horizontal="left" vertical="top" wrapText="1"/>
    </xf>
    <xf numFmtId="1" fontId="22" fillId="0" borderId="2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top"/>
    </xf>
    <xf numFmtId="0" fontId="58" fillId="0" borderId="0" xfId="0" applyFont="1" applyAlignment="1">
      <alignment vertical="center"/>
    </xf>
    <xf numFmtId="0" fontId="56" fillId="2" borderId="0" xfId="0" applyFont="1" applyFill="1" applyAlignment="1">
      <alignment horizontal="center" vertical="center" wrapText="1"/>
    </xf>
    <xf numFmtId="167" fontId="26" fillId="6" borderId="2" xfId="0" applyNumberFormat="1" applyFont="1" applyFill="1" applyBorder="1" applyAlignment="1">
      <alignment horizontal="center" vertical="center" wrapText="1"/>
    </xf>
    <xf numFmtId="8" fontId="26" fillId="6" borderId="1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0" fontId="26" fillId="6" borderId="1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56" fillId="2" borderId="0" xfId="0" applyFont="1" applyFill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26" fillId="0" borderId="9" xfId="0" applyFont="1" applyBorder="1" applyAlignment="1">
      <alignment vertical="center" wrapText="1"/>
    </xf>
    <xf numFmtId="0" fontId="32" fillId="0" borderId="0" xfId="0" applyFont="1" applyAlignment="1">
      <alignment vertical="center"/>
    </xf>
    <xf numFmtId="0" fontId="0" fillId="0" borderId="0" xfId="0" applyAlignment="1">
      <alignment vertical="top"/>
    </xf>
    <xf numFmtId="0" fontId="12" fillId="0" borderId="0" xfId="0" applyFont="1" applyAlignment="1">
      <alignment vertical="center"/>
    </xf>
    <xf numFmtId="1" fontId="44" fillId="6" borderId="1" xfId="0" applyNumberFormat="1" applyFont="1" applyFill="1" applyBorder="1" applyAlignment="1">
      <alignment horizontal="center" vertical="center" shrinkToFit="1"/>
    </xf>
    <xf numFmtId="1" fontId="37" fillId="6" borderId="1" xfId="0" applyNumberFormat="1" applyFont="1" applyFill="1" applyBorder="1" applyAlignment="1">
      <alignment horizontal="center" vertical="center" shrinkToFit="1"/>
    </xf>
    <xf numFmtId="4" fontId="37" fillId="0" borderId="0" xfId="0" applyNumberFormat="1" applyFont="1" applyAlignment="1">
      <alignment horizontal="left" vertical="top"/>
    </xf>
    <xf numFmtId="4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3" fontId="37" fillId="0" borderId="0" xfId="0" applyNumberFormat="1" applyFont="1" applyAlignment="1">
      <alignment horizontal="left" vertical="top"/>
    </xf>
    <xf numFmtId="0" fontId="55" fillId="2" borderId="0" xfId="0" applyFont="1" applyFill="1" applyAlignment="1">
      <alignment horizontal="left" vertical="center" wrapText="1"/>
    </xf>
    <xf numFmtId="0" fontId="55" fillId="2" borderId="0" xfId="0" applyFont="1" applyFill="1" applyAlignment="1">
      <alignment horizontal="center" vertical="top" wrapText="1"/>
    </xf>
    <xf numFmtId="0" fontId="55" fillId="2" borderId="0" xfId="0" applyFont="1" applyFill="1" applyAlignment="1">
      <alignment horizontal="left" vertical="top" wrapText="1" indent="2"/>
    </xf>
    <xf numFmtId="0" fontId="55" fillId="0" borderId="0" xfId="0" applyFont="1"/>
    <xf numFmtId="0" fontId="55" fillId="0" borderId="1" xfId="0" applyFont="1" applyBorder="1" applyAlignment="1">
      <alignment horizontal="left" vertical="center" wrapText="1"/>
    </xf>
    <xf numFmtId="0" fontId="55" fillId="0" borderId="2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166" fontId="54" fillId="7" borderId="2" xfId="0" applyNumberFormat="1" applyFont="1" applyFill="1" applyBorder="1" applyAlignment="1">
      <alignment horizontal="center" vertical="center" wrapText="1"/>
    </xf>
    <xf numFmtId="166" fontId="55" fillId="6" borderId="2" xfId="0" applyNumberFormat="1" applyFont="1" applyFill="1" applyBorder="1" applyAlignment="1">
      <alignment horizontal="center" vertical="center" wrapText="1"/>
    </xf>
    <xf numFmtId="172" fontId="54" fillId="7" borderId="2" xfId="0" applyNumberFormat="1" applyFont="1" applyFill="1" applyBorder="1" applyAlignment="1">
      <alignment horizontal="center" vertical="center" wrapText="1"/>
    </xf>
    <xf numFmtId="0" fontId="55" fillId="5" borderId="2" xfId="0" applyFont="1" applyFill="1" applyBorder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55" fillId="2" borderId="0" xfId="0" applyFont="1" applyFill="1" applyAlignment="1">
      <alignment horizontal="left" vertical="top" wrapText="1" indent="1"/>
    </xf>
    <xf numFmtId="0" fontId="37" fillId="0" borderId="2" xfId="0" applyFont="1" applyBorder="1" applyAlignment="1">
      <alignment horizontal="left" wrapText="1"/>
    </xf>
    <xf numFmtId="0" fontId="37" fillId="0" borderId="2" xfId="0" applyFont="1" applyBorder="1" applyAlignment="1">
      <alignment horizontal="center" vertical="center" wrapText="1"/>
    </xf>
    <xf numFmtId="3" fontId="55" fillId="6" borderId="2" xfId="0" applyNumberFormat="1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 wrapText="1"/>
    </xf>
    <xf numFmtId="0" fontId="55" fillId="2" borderId="0" xfId="0" applyFont="1" applyFill="1" applyAlignment="1">
      <alignment horizontal="left" vertical="top" wrapText="1" indent="3"/>
    </xf>
    <xf numFmtId="0" fontId="55" fillId="0" borderId="0" xfId="0" applyFont="1" applyAlignment="1">
      <alignment horizontal="center" vertical="center" wrapText="1"/>
    </xf>
    <xf numFmtId="167" fontId="54" fillId="7" borderId="2" xfId="0" applyNumberFormat="1" applyFont="1" applyFill="1" applyBorder="1" applyAlignment="1">
      <alignment horizontal="center" vertical="center" wrapText="1"/>
    </xf>
    <xf numFmtId="168" fontId="55" fillId="6" borderId="2" xfId="0" applyNumberFormat="1" applyFont="1" applyFill="1" applyBorder="1" applyAlignment="1">
      <alignment horizontal="center" vertical="center" wrapText="1"/>
    </xf>
    <xf numFmtId="165" fontId="54" fillId="7" borderId="2" xfId="0" applyNumberFormat="1" applyFont="1" applyFill="1" applyBorder="1" applyAlignment="1">
      <alignment horizontal="center" vertical="center" wrapText="1"/>
    </xf>
    <xf numFmtId="10" fontId="54" fillId="7" borderId="2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10" fontId="55" fillId="6" borderId="2" xfId="0" applyNumberFormat="1" applyFont="1" applyFill="1" applyBorder="1" applyAlignment="1">
      <alignment horizontal="center" vertical="center" wrapText="1"/>
    </xf>
    <xf numFmtId="0" fontId="55" fillId="0" borderId="0" xfId="0" applyFont="1" applyAlignment="1">
      <alignment wrapText="1"/>
    </xf>
    <xf numFmtId="1" fontId="55" fillId="0" borderId="0" xfId="0" applyNumberFormat="1" applyFont="1" applyAlignment="1">
      <alignment wrapText="1"/>
    </xf>
    <xf numFmtId="167" fontId="55" fillId="0" borderId="0" xfId="0" applyNumberFormat="1" applyFont="1" applyAlignment="1">
      <alignment wrapText="1"/>
    </xf>
    <xf numFmtId="168" fontId="37" fillId="6" borderId="2" xfId="0" applyNumberFormat="1" applyFont="1" applyFill="1" applyBorder="1" applyAlignment="1">
      <alignment horizontal="center" vertical="center" shrinkToFit="1"/>
    </xf>
    <xf numFmtId="165" fontId="37" fillId="0" borderId="0" xfId="0" applyNumberFormat="1" applyFont="1" applyAlignment="1">
      <alignment horizontal="left" wrapText="1"/>
    </xf>
    <xf numFmtId="177" fontId="37" fillId="0" borderId="0" xfId="0" applyNumberFormat="1" applyFont="1" applyAlignment="1">
      <alignment horizontal="left" wrapText="1"/>
    </xf>
    <xf numFmtId="1" fontId="37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68" fontId="37" fillId="6" borderId="1" xfId="0" applyNumberFormat="1" applyFont="1" applyFill="1" applyBorder="1" applyAlignment="1">
      <alignment horizontal="center" vertical="top" shrinkToFit="1"/>
    </xf>
    <xf numFmtId="1" fontId="37" fillId="0" borderId="2" xfId="0" applyNumberFormat="1" applyFont="1" applyBorder="1" applyAlignment="1">
      <alignment horizontal="center" vertical="top" shrinkToFit="1"/>
    </xf>
    <xf numFmtId="10" fontId="37" fillId="0" borderId="0" xfId="0" applyNumberFormat="1" applyFont="1" applyAlignment="1">
      <alignment horizontal="left" wrapText="1"/>
    </xf>
    <xf numFmtId="167" fontId="37" fillId="7" borderId="2" xfId="0" applyNumberFormat="1" applyFont="1" applyFill="1" applyBorder="1" applyAlignment="1">
      <alignment horizontal="center" vertical="top" shrinkToFit="1"/>
    </xf>
    <xf numFmtId="178" fontId="37" fillId="0" borderId="0" xfId="0" applyNumberFormat="1" applyFont="1" applyAlignment="1">
      <alignment horizontal="left" wrapText="1"/>
    </xf>
    <xf numFmtId="1" fontId="37" fillId="7" borderId="2" xfId="0" applyNumberFormat="1" applyFont="1" applyFill="1" applyBorder="1" applyAlignment="1">
      <alignment horizontal="center" vertical="top" shrinkToFit="1"/>
    </xf>
    <xf numFmtId="1" fontId="37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167" fontId="37" fillId="7" borderId="2" xfId="0" applyNumberFormat="1" applyFont="1" applyFill="1" applyBorder="1" applyAlignment="1">
      <alignment horizontal="center" vertical="center" shrinkToFit="1"/>
    </xf>
    <xf numFmtId="0" fontId="54" fillId="7" borderId="8" xfId="0" applyFont="1" applyFill="1" applyBorder="1" applyAlignment="1">
      <alignment horizontal="center" vertical="center" wrapText="1"/>
    </xf>
    <xf numFmtId="166" fontId="37" fillId="7" borderId="2" xfId="0" applyNumberFormat="1" applyFont="1" applyFill="1" applyBorder="1" applyAlignment="1">
      <alignment horizontal="center" vertical="center" shrinkToFit="1"/>
    </xf>
    <xf numFmtId="0" fontId="55" fillId="0" borderId="4" xfId="0" applyFont="1" applyBorder="1" applyAlignment="1">
      <alignment vertical="center" wrapText="1"/>
    </xf>
    <xf numFmtId="167" fontId="54" fillId="0" borderId="44" xfId="0" applyNumberFormat="1" applyFont="1" applyBorder="1" applyAlignment="1">
      <alignment horizontal="center" vertical="center" wrapText="1"/>
    </xf>
    <xf numFmtId="168" fontId="54" fillId="6" borderId="2" xfId="0" applyNumberFormat="1" applyFont="1" applyFill="1" applyBorder="1" applyAlignment="1">
      <alignment horizontal="center" vertical="center" wrapText="1"/>
    </xf>
    <xf numFmtId="167" fontId="54" fillId="7" borderId="1" xfId="0" applyNumberFormat="1" applyFont="1" applyFill="1" applyBorder="1" applyAlignment="1">
      <alignment horizontal="center" vertical="top" wrapText="1"/>
    </xf>
    <xf numFmtId="167" fontId="54" fillId="7" borderId="1" xfId="0" applyNumberFormat="1" applyFont="1" applyFill="1" applyBorder="1" applyAlignment="1">
      <alignment horizontal="center" vertical="center" wrapText="1"/>
    </xf>
    <xf numFmtId="167" fontId="54" fillId="6" borderId="2" xfId="0" applyNumberFormat="1" applyFont="1" applyFill="1" applyBorder="1" applyAlignment="1">
      <alignment horizontal="center" vertical="top" wrapText="1"/>
    </xf>
    <xf numFmtId="167" fontId="54" fillId="7" borderId="2" xfId="0" applyNumberFormat="1" applyFont="1" applyFill="1" applyBorder="1" applyAlignment="1">
      <alignment horizontal="center" vertical="top" wrapText="1"/>
    </xf>
    <xf numFmtId="4" fontId="54" fillId="7" borderId="2" xfId="0" applyNumberFormat="1" applyFont="1" applyFill="1" applyBorder="1" applyAlignment="1">
      <alignment horizontal="center" vertical="top" wrapText="1"/>
    </xf>
    <xf numFmtId="167" fontId="37" fillId="0" borderId="0" xfId="0" applyNumberFormat="1" applyFont="1" applyAlignment="1">
      <alignment horizontal="center" vertical="center"/>
    </xf>
    <xf numFmtId="0" fontId="60" fillId="0" borderId="2" xfId="0" applyFont="1" applyBorder="1" applyAlignment="1">
      <alignment horizontal="left" vertical="center" wrapText="1"/>
    </xf>
    <xf numFmtId="0" fontId="54" fillId="0" borderId="0" xfId="0" applyFont="1" applyAlignment="1">
      <alignment horizontal="left" vertical="center" wrapText="1"/>
    </xf>
    <xf numFmtId="0" fontId="61" fillId="2" borderId="0" xfId="0" applyFont="1" applyFill="1" applyAlignment="1">
      <alignment vertical="top" wrapText="1"/>
    </xf>
    <xf numFmtId="3" fontId="55" fillId="6" borderId="2" xfId="0" applyNumberFormat="1" applyFont="1" applyFill="1" applyBorder="1" applyAlignment="1">
      <alignment horizontal="center" vertical="top" wrapText="1"/>
    </xf>
    <xf numFmtId="3" fontId="44" fillId="0" borderId="0" xfId="0" applyNumberFormat="1" applyFont="1" applyAlignment="1">
      <alignment horizontal="left" vertical="top"/>
    </xf>
    <xf numFmtId="0" fontId="28" fillId="3" borderId="0" xfId="0" applyFont="1" applyFill="1" applyAlignment="1">
      <alignment horizontal="center" vertical="center" wrapText="1"/>
    </xf>
    <xf numFmtId="3" fontId="27" fillId="6" borderId="1" xfId="0" applyNumberFormat="1" applyFont="1" applyFill="1" applyBorder="1" applyAlignment="1">
      <alignment horizontal="center" vertical="center" wrapText="1"/>
    </xf>
    <xf numFmtId="3" fontId="27" fillId="6" borderId="2" xfId="0" applyNumberFormat="1" applyFont="1" applyFill="1" applyBorder="1" applyAlignment="1">
      <alignment horizontal="center" vertical="center" wrapText="1"/>
    </xf>
    <xf numFmtId="10" fontId="27" fillId="7" borderId="2" xfId="0" applyNumberFormat="1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2" fontId="27" fillId="7" borderId="2" xfId="0" applyNumberFormat="1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left" vertical="top"/>
    </xf>
    <xf numFmtId="2" fontId="22" fillId="0" borderId="0" xfId="0" applyNumberFormat="1" applyFont="1" applyAlignment="1">
      <alignment horizontal="left" vertical="top"/>
    </xf>
    <xf numFmtId="0" fontId="12" fillId="0" borderId="0" xfId="0" applyFont="1" applyAlignment="1">
      <alignment vertical="top"/>
    </xf>
    <xf numFmtId="0" fontId="54" fillId="0" borderId="1" xfId="0" applyFont="1" applyBorder="1" applyAlignment="1">
      <alignment horizontal="center" vertical="top" wrapText="1"/>
    </xf>
    <xf numFmtId="167" fontId="55" fillId="10" borderId="1" xfId="0" applyNumberFormat="1" applyFont="1" applyFill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top" wrapText="1"/>
    </xf>
    <xf numFmtId="165" fontId="55" fillId="10" borderId="1" xfId="0" applyNumberFormat="1" applyFont="1" applyFill="1" applyBorder="1" applyAlignment="1">
      <alignment horizontal="center" vertical="center" wrapText="1"/>
    </xf>
    <xf numFmtId="3" fontId="54" fillId="6" borderId="2" xfId="0" applyNumberFormat="1" applyFont="1" applyFill="1" applyBorder="1" applyAlignment="1">
      <alignment horizontal="center" vertical="center" wrapText="1"/>
    </xf>
    <xf numFmtId="3" fontId="55" fillId="10" borderId="2" xfId="0" applyNumberFormat="1" applyFont="1" applyFill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top" wrapText="1"/>
    </xf>
    <xf numFmtId="168" fontId="44" fillId="0" borderId="2" xfId="0" applyNumberFormat="1" applyFont="1" applyBorder="1" applyAlignment="1">
      <alignment horizontal="center" vertical="center" shrinkToFit="1"/>
    </xf>
    <xf numFmtId="168" fontId="55" fillId="0" borderId="2" xfId="0" applyNumberFormat="1" applyFont="1" applyBorder="1" applyAlignment="1">
      <alignment horizontal="center" vertical="center" wrapText="1"/>
    </xf>
    <xf numFmtId="175" fontId="37" fillId="0" borderId="2" xfId="0" applyNumberFormat="1" applyFont="1" applyBorder="1" applyAlignment="1">
      <alignment horizontal="center" vertical="center" shrinkToFit="1"/>
    </xf>
    <xf numFmtId="175" fontId="54" fillId="0" borderId="2" xfId="0" applyNumberFormat="1" applyFont="1" applyBorder="1" applyAlignment="1">
      <alignment horizontal="center" vertical="center" wrapText="1"/>
    </xf>
    <xf numFmtId="0" fontId="57" fillId="2" borderId="61" xfId="0" applyFont="1" applyFill="1" applyBorder="1" applyAlignment="1">
      <alignment horizontal="center" vertical="center" wrapText="1"/>
    </xf>
    <xf numFmtId="0" fontId="37" fillId="2" borderId="61" xfId="0" applyFont="1" applyFill="1" applyBorder="1" applyAlignment="1">
      <alignment horizontal="center" vertical="center" wrapText="1"/>
    </xf>
    <xf numFmtId="0" fontId="37" fillId="2" borderId="62" xfId="0" applyFont="1" applyFill="1" applyBorder="1" applyAlignment="1">
      <alignment horizontal="center" vertical="center" wrapText="1"/>
    </xf>
    <xf numFmtId="0" fontId="27" fillId="0" borderId="33" xfId="0" applyFont="1" applyBorder="1" applyAlignment="1">
      <alignment horizontal="left" vertical="center" wrapText="1"/>
    </xf>
    <xf numFmtId="175" fontId="37" fillId="0" borderId="34" xfId="0" applyNumberFormat="1" applyFont="1" applyBorder="1" applyAlignment="1">
      <alignment horizontal="center" vertical="center" shrinkToFit="1"/>
    </xf>
    <xf numFmtId="175" fontId="54" fillId="0" borderId="34" xfId="0" applyNumberFormat="1" applyFont="1" applyBorder="1" applyAlignment="1">
      <alignment horizontal="center" vertical="center" wrapText="1"/>
    </xf>
    <xf numFmtId="0" fontId="27" fillId="0" borderId="65" xfId="0" applyFont="1" applyBorder="1" applyAlignment="1">
      <alignment horizontal="left" vertical="center" wrapText="1"/>
    </xf>
    <xf numFmtId="0" fontId="27" fillId="6" borderId="31" xfId="0" applyFont="1" applyFill="1" applyBorder="1" applyAlignment="1">
      <alignment horizontal="left" vertical="center" wrapText="1"/>
    </xf>
    <xf numFmtId="0" fontId="27" fillId="6" borderId="33" xfId="0" applyFont="1" applyFill="1" applyBorder="1" applyAlignment="1">
      <alignment horizontal="left" vertical="center" wrapText="1"/>
    </xf>
    <xf numFmtId="0" fontId="27" fillId="6" borderId="35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64" xfId="0" applyFont="1" applyFill="1" applyBorder="1" applyAlignment="1">
      <alignment horizontal="left" vertical="center" wrapText="1"/>
    </xf>
    <xf numFmtId="167" fontId="28" fillId="0" borderId="38" xfId="0" applyNumberFormat="1" applyFont="1" applyBorder="1" applyAlignment="1">
      <alignment horizontal="center" vertical="center" wrapText="1"/>
    </xf>
    <xf numFmtId="167" fontId="28" fillId="0" borderId="39" xfId="0" applyNumberFormat="1" applyFont="1" applyBorder="1" applyAlignment="1">
      <alignment horizontal="center" vertical="center" wrapText="1"/>
    </xf>
    <xf numFmtId="167" fontId="37" fillId="0" borderId="10" xfId="0" applyNumberFormat="1" applyFont="1" applyBorder="1" applyAlignment="1">
      <alignment horizontal="center" vertical="center" shrinkToFit="1"/>
    </xf>
    <xf numFmtId="167" fontId="37" fillId="0" borderId="16" xfId="0" applyNumberFormat="1" applyFont="1" applyBorder="1" applyAlignment="1">
      <alignment horizontal="center" vertical="center" shrinkToFit="1"/>
    </xf>
    <xf numFmtId="167" fontId="27" fillId="7" borderId="1" xfId="0" applyNumberFormat="1" applyFont="1" applyFill="1" applyBorder="1" applyAlignment="1">
      <alignment horizontal="center" vertical="center" wrapText="1"/>
    </xf>
    <xf numFmtId="167" fontId="27" fillId="7" borderId="2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10" fontId="27" fillId="7" borderId="1" xfId="0" applyNumberFormat="1" applyFont="1" applyFill="1" applyBorder="1" applyAlignment="1">
      <alignment horizontal="center" vertical="center" wrapText="1"/>
    </xf>
    <xf numFmtId="10" fontId="27" fillId="6" borderId="2" xfId="0" applyNumberFormat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left" vertical="top" wrapText="1"/>
    </xf>
    <xf numFmtId="0" fontId="55" fillId="0" borderId="2" xfId="0" applyFont="1" applyBorder="1" applyAlignment="1">
      <alignment horizontal="left" vertical="top" wrapText="1"/>
    </xf>
    <xf numFmtId="176" fontId="27" fillId="7" borderId="13" xfId="0" applyNumberFormat="1" applyFont="1" applyFill="1" applyBorder="1" applyAlignment="1">
      <alignment horizontal="center" vertical="center" wrapText="1"/>
    </xf>
    <xf numFmtId="176" fontId="22" fillId="7" borderId="13" xfId="0" applyNumberFormat="1" applyFont="1" applyFill="1" applyBorder="1" applyAlignment="1">
      <alignment horizontal="center" vertical="center" wrapText="1"/>
    </xf>
    <xf numFmtId="176" fontId="22" fillId="7" borderId="14" xfId="0" applyNumberFormat="1" applyFont="1" applyFill="1" applyBorder="1" applyAlignment="1">
      <alignment horizontal="center" vertical="center" wrapText="1"/>
    </xf>
    <xf numFmtId="176" fontId="27" fillId="7" borderId="10" xfId="0" applyNumberFormat="1" applyFont="1" applyFill="1" applyBorder="1" applyAlignment="1">
      <alignment horizontal="center" vertical="center" wrapText="1"/>
    </xf>
    <xf numFmtId="176" fontId="27" fillId="7" borderId="10" xfId="0" applyNumberFormat="1" applyFont="1" applyFill="1" applyBorder="1" applyAlignment="1">
      <alignment horizontal="center" vertical="top" wrapText="1"/>
    </xf>
    <xf numFmtId="176" fontId="27" fillId="7" borderId="16" xfId="0" applyNumberFormat="1" applyFont="1" applyFill="1" applyBorder="1" applyAlignment="1">
      <alignment horizontal="center" vertical="top" wrapText="1"/>
    </xf>
    <xf numFmtId="176" fontId="27" fillId="7" borderId="18" xfId="0" applyNumberFormat="1" applyFont="1" applyFill="1" applyBorder="1" applyAlignment="1">
      <alignment horizontal="center" vertical="center" wrapText="1"/>
    </xf>
    <xf numFmtId="176" fontId="27" fillId="7" borderId="18" xfId="0" applyNumberFormat="1" applyFont="1" applyFill="1" applyBorder="1" applyAlignment="1">
      <alignment horizontal="center" vertical="top" wrapText="1"/>
    </xf>
    <xf numFmtId="169" fontId="27" fillId="7" borderId="1" xfId="0" applyNumberFormat="1" applyFont="1" applyFill="1" applyBorder="1" applyAlignment="1">
      <alignment horizontal="center" vertical="center" wrapText="1"/>
    </xf>
    <xf numFmtId="169" fontId="27" fillId="7" borderId="1" xfId="0" applyNumberFormat="1" applyFont="1" applyFill="1" applyBorder="1" applyAlignment="1">
      <alignment horizontal="center" vertical="top" wrapText="1"/>
    </xf>
    <xf numFmtId="169" fontId="27" fillId="7" borderId="32" xfId="0" applyNumberFormat="1" applyFont="1" applyFill="1" applyBorder="1" applyAlignment="1">
      <alignment horizontal="center" vertical="top" wrapText="1"/>
    </xf>
    <xf numFmtId="175" fontId="22" fillId="7" borderId="1" xfId="0" applyNumberFormat="1" applyFont="1" applyFill="1" applyBorder="1" applyAlignment="1">
      <alignment horizontal="center" vertical="center" wrapText="1"/>
    </xf>
    <xf numFmtId="175" fontId="22" fillId="7" borderId="32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top" wrapText="1"/>
    </xf>
    <xf numFmtId="0" fontId="9" fillId="2" borderId="66" xfId="0" applyFont="1" applyFill="1" applyBorder="1" applyAlignment="1">
      <alignment horizontal="center" vertical="top" wrapText="1"/>
    </xf>
    <xf numFmtId="176" fontId="27" fillId="7" borderId="16" xfId="0" applyNumberFormat="1" applyFont="1" applyFill="1" applyBorder="1" applyAlignment="1">
      <alignment horizontal="center" vertical="center" wrapText="1"/>
    </xf>
    <xf numFmtId="176" fontId="27" fillId="7" borderId="19" xfId="0" applyNumberFormat="1" applyFont="1" applyFill="1" applyBorder="1" applyAlignment="1">
      <alignment horizontal="center" vertical="top" wrapText="1"/>
    </xf>
    <xf numFmtId="175" fontId="55" fillId="6" borderId="1" xfId="0" applyNumberFormat="1" applyFont="1" applyFill="1" applyBorder="1" applyAlignment="1">
      <alignment horizontal="center" vertical="center" wrapText="1"/>
    </xf>
    <xf numFmtId="2" fontId="54" fillId="7" borderId="10" xfId="0" applyNumberFormat="1" applyFont="1" applyFill="1" applyBorder="1" applyAlignment="1">
      <alignment horizontal="center" vertical="center" wrapText="1"/>
    </xf>
    <xf numFmtId="175" fontId="54" fillId="0" borderId="51" xfId="0" applyNumberFormat="1" applyFont="1" applyBorder="1" applyAlignment="1">
      <alignment horizontal="center" vertical="center" wrapText="1"/>
    </xf>
    <xf numFmtId="175" fontId="54" fillId="0" borderId="52" xfId="0" applyNumberFormat="1" applyFont="1" applyBorder="1" applyAlignment="1">
      <alignment horizontal="center" vertical="center" wrapText="1"/>
    </xf>
    <xf numFmtId="0" fontId="54" fillId="0" borderId="10" xfId="0" applyFont="1" applyBorder="1" applyAlignment="1">
      <alignment horizontal="left" vertical="center" wrapText="1"/>
    </xf>
    <xf numFmtId="2" fontId="54" fillId="7" borderId="10" xfId="0" applyNumberFormat="1" applyFont="1" applyFill="1" applyBorder="1" applyAlignment="1">
      <alignment horizontal="center" vertical="top" wrapText="1"/>
    </xf>
    <xf numFmtId="169" fontId="54" fillId="7" borderId="10" xfId="0" applyNumberFormat="1" applyFont="1" applyFill="1" applyBorder="1" applyAlignment="1">
      <alignment horizontal="center" vertical="top" wrapText="1"/>
    </xf>
    <xf numFmtId="0" fontId="55" fillId="0" borderId="10" xfId="0" applyFont="1" applyBorder="1" applyAlignment="1">
      <alignment horizontal="left" vertical="center" wrapText="1"/>
    </xf>
    <xf numFmtId="0" fontId="54" fillId="0" borderId="8" xfId="0" applyFont="1" applyBorder="1" applyAlignment="1">
      <alignment horizontal="left" vertical="center" wrapText="1"/>
    </xf>
    <xf numFmtId="167" fontId="54" fillId="7" borderId="10" xfId="0" applyNumberFormat="1" applyFont="1" applyFill="1" applyBorder="1" applyAlignment="1">
      <alignment horizontal="center" vertical="top" wrapText="1"/>
    </xf>
    <xf numFmtId="167" fontId="54" fillId="7" borderId="10" xfId="0" applyNumberFormat="1" applyFont="1" applyFill="1" applyBorder="1" applyAlignment="1">
      <alignment horizontal="center" vertical="center" wrapText="1"/>
    </xf>
    <xf numFmtId="0" fontId="55" fillId="8" borderId="2" xfId="0" applyFont="1" applyFill="1" applyBorder="1" applyAlignment="1">
      <alignment horizontal="center" vertical="top" wrapText="1"/>
    </xf>
    <xf numFmtId="168" fontId="25" fillId="8" borderId="2" xfId="0" applyNumberFormat="1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169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left" vertical="center" wrapText="1"/>
    </xf>
    <xf numFmtId="180" fontId="0" fillId="0" borderId="0" xfId="0" applyNumberFormat="1" applyAlignment="1">
      <alignment horizontal="left" wrapText="1"/>
    </xf>
    <xf numFmtId="169" fontId="23" fillId="0" borderId="0" xfId="0" applyNumberFormat="1" applyFont="1" applyAlignment="1">
      <alignment horizontal="left" vertical="top"/>
    </xf>
    <xf numFmtId="10" fontId="37" fillId="0" borderId="0" xfId="0" applyNumberFormat="1" applyFont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54" fillId="0" borderId="26" xfId="0" applyNumberFormat="1" applyFont="1" applyBorder="1" applyAlignment="1">
      <alignment horizontal="center" vertical="center"/>
    </xf>
    <xf numFmtId="3" fontId="54" fillId="0" borderId="2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left" vertical="center"/>
    </xf>
    <xf numFmtId="10" fontId="54" fillId="0" borderId="42" xfId="0" applyNumberFormat="1" applyFont="1" applyBorder="1" applyAlignment="1">
      <alignment horizontal="center" vertical="center"/>
    </xf>
    <xf numFmtId="171" fontId="55" fillId="0" borderId="0" xfId="0" applyNumberFormat="1" applyFont="1" applyAlignment="1">
      <alignment vertical="center" wrapText="1"/>
    </xf>
    <xf numFmtId="171" fontId="55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171" fontId="37" fillId="0" borderId="0" xfId="0" applyNumberFormat="1" applyFont="1" applyAlignment="1">
      <alignment horizontal="center" vertical="center"/>
    </xf>
    <xf numFmtId="169" fontId="37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top"/>
    </xf>
    <xf numFmtId="0" fontId="54" fillId="0" borderId="3" xfId="0" applyFont="1" applyBorder="1" applyAlignment="1">
      <alignment horizontal="left" vertical="center" wrapText="1"/>
    </xf>
    <xf numFmtId="2" fontId="54" fillId="6" borderId="7" xfId="0" applyNumberFormat="1" applyFont="1" applyFill="1" applyBorder="1" applyAlignment="1">
      <alignment horizontal="center" vertical="center" wrapText="1"/>
    </xf>
    <xf numFmtId="2" fontId="54" fillId="6" borderId="71" xfId="0" applyNumberFormat="1" applyFont="1" applyFill="1" applyBorder="1" applyAlignment="1">
      <alignment horizontal="center" vertical="center" wrapText="1"/>
    </xf>
    <xf numFmtId="2" fontId="54" fillId="6" borderId="20" xfId="0" applyNumberFormat="1" applyFont="1" applyFill="1" applyBorder="1" applyAlignment="1">
      <alignment horizontal="center" vertical="center" wrapText="1"/>
    </xf>
    <xf numFmtId="4" fontId="44" fillId="0" borderId="0" xfId="0" applyNumberFormat="1" applyFont="1" applyAlignment="1">
      <alignment horizontal="center" vertical="center"/>
    </xf>
    <xf numFmtId="3" fontId="11" fillId="6" borderId="72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left" vertical="center"/>
    </xf>
    <xf numFmtId="171" fontId="31" fillId="0" borderId="0" xfId="0" applyNumberFormat="1" applyFont="1" applyAlignment="1">
      <alignment horizontal="center" vertical="center"/>
    </xf>
    <xf numFmtId="168" fontId="54" fillId="7" borderId="2" xfId="0" applyNumberFormat="1" applyFont="1" applyFill="1" applyBorder="1" applyAlignment="1">
      <alignment horizontal="center" vertical="center" wrapText="1"/>
    </xf>
    <xf numFmtId="184" fontId="37" fillId="0" borderId="0" xfId="0" applyNumberFormat="1" applyFont="1" applyAlignment="1">
      <alignment horizontal="center" vertical="center"/>
    </xf>
    <xf numFmtId="183" fontId="37" fillId="0" borderId="0" xfId="0" applyNumberFormat="1" applyFont="1" applyAlignment="1">
      <alignment horizontal="left" wrapText="1"/>
    </xf>
    <xf numFmtId="172" fontId="55" fillId="0" borderId="0" xfId="0" applyNumberFormat="1" applyFont="1"/>
    <xf numFmtId="180" fontId="31" fillId="0" borderId="0" xfId="0" applyNumberFormat="1" applyFont="1" applyAlignment="1">
      <alignment horizontal="center" vertical="center"/>
    </xf>
    <xf numFmtId="3" fontId="37" fillId="0" borderId="0" xfId="0" applyNumberFormat="1" applyFont="1" applyAlignment="1">
      <alignment horizontal="center" vertical="center" wrapText="1"/>
    </xf>
    <xf numFmtId="168" fontId="37" fillId="0" borderId="0" xfId="0" applyNumberFormat="1" applyFont="1" applyAlignment="1">
      <alignment horizontal="left" vertical="top"/>
    </xf>
    <xf numFmtId="182" fontId="31" fillId="0" borderId="0" xfId="0" applyNumberFormat="1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181" fontId="0" fillId="0" borderId="0" xfId="0" applyNumberFormat="1" applyAlignment="1">
      <alignment horizontal="left" vertical="top"/>
    </xf>
    <xf numFmtId="167" fontId="30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top"/>
    </xf>
    <xf numFmtId="8" fontId="31" fillId="0" borderId="0" xfId="0" applyNumberFormat="1" applyFont="1" applyAlignment="1">
      <alignment horizontal="center" vertical="center"/>
    </xf>
    <xf numFmtId="186" fontId="31" fillId="0" borderId="0" xfId="0" applyNumberFormat="1" applyFont="1" applyAlignment="1">
      <alignment horizontal="center" vertical="center"/>
    </xf>
    <xf numFmtId="175" fontId="55" fillId="10" borderId="2" xfId="0" applyNumberFormat="1" applyFont="1" applyFill="1" applyBorder="1" applyAlignment="1">
      <alignment horizontal="center" vertical="center" wrapText="1"/>
    </xf>
    <xf numFmtId="187" fontId="37" fillId="0" borderId="0" xfId="0" applyNumberFormat="1" applyFont="1" applyAlignment="1">
      <alignment horizontal="center" vertical="top"/>
    </xf>
    <xf numFmtId="169" fontId="55" fillId="6" borderId="2" xfId="14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top" wrapText="1"/>
    </xf>
    <xf numFmtId="3" fontId="11" fillId="7" borderId="2" xfId="0" applyNumberFormat="1" applyFont="1" applyFill="1" applyBorder="1" applyAlignment="1">
      <alignment horizontal="center" vertical="center" wrapText="1"/>
    </xf>
    <xf numFmtId="168" fontId="2" fillId="6" borderId="2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3" fontId="0" fillId="0" borderId="0" xfId="0" applyNumberFormat="1" applyAlignment="1">
      <alignment horizontal="center" vertical="center"/>
    </xf>
    <xf numFmtId="167" fontId="37" fillId="0" borderId="0" xfId="0" applyNumberFormat="1" applyFont="1" applyAlignment="1">
      <alignment horizontal="left" wrapText="1"/>
    </xf>
    <xf numFmtId="171" fontId="22" fillId="0" borderId="0" xfId="0" applyNumberFormat="1" applyFont="1" applyAlignment="1">
      <alignment horizontal="center" vertical="center" wrapText="1"/>
    </xf>
    <xf numFmtId="176" fontId="27" fillId="6" borderId="10" xfId="0" applyNumberFormat="1" applyFont="1" applyFill="1" applyBorder="1" applyAlignment="1">
      <alignment horizontal="center" vertical="center" wrapText="1"/>
    </xf>
    <xf numFmtId="176" fontId="27" fillId="6" borderId="16" xfId="0" applyNumberFormat="1" applyFont="1" applyFill="1" applyBorder="1" applyAlignment="1">
      <alignment horizontal="center" vertical="top" wrapText="1"/>
    </xf>
    <xf numFmtId="169" fontId="0" fillId="0" borderId="0" xfId="0" applyNumberFormat="1" applyAlignment="1">
      <alignment horizontal="left" vertical="center" wrapText="1"/>
    </xf>
    <xf numFmtId="167" fontId="55" fillId="6" borderId="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top" wrapText="1"/>
    </xf>
    <xf numFmtId="0" fontId="27" fillId="0" borderId="9" xfId="0" applyFont="1" applyBorder="1" applyAlignment="1">
      <alignment vertical="center" wrapText="1"/>
    </xf>
    <xf numFmtId="2" fontId="27" fillId="6" borderId="9" xfId="0" applyNumberFormat="1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0" fontId="55" fillId="0" borderId="1" xfId="0" applyFont="1" applyBorder="1" applyAlignment="1">
      <alignment horizontal="center" vertical="top" wrapText="1"/>
    </xf>
    <xf numFmtId="168" fontId="44" fillId="0" borderId="1" xfId="0" applyNumberFormat="1" applyFont="1" applyBorder="1" applyAlignment="1">
      <alignment horizontal="center" vertical="center" shrinkToFit="1"/>
    </xf>
    <xf numFmtId="168" fontId="55" fillId="0" borderId="1" xfId="0" applyNumberFormat="1" applyFont="1" applyBorder="1" applyAlignment="1">
      <alignment horizontal="center" vertical="center" wrapText="1"/>
    </xf>
    <xf numFmtId="3" fontId="3" fillId="6" borderId="46" xfId="0" applyNumberFormat="1" applyFont="1" applyFill="1" applyBorder="1" applyAlignment="1">
      <alignment horizontal="center" vertical="center" wrapText="1"/>
    </xf>
    <xf numFmtId="3" fontId="3" fillId="6" borderId="47" xfId="0" applyNumberFormat="1" applyFont="1" applyFill="1" applyBorder="1" applyAlignment="1">
      <alignment horizontal="center" vertical="center" wrapText="1"/>
    </xf>
    <xf numFmtId="3" fontId="37" fillId="0" borderId="0" xfId="0" applyNumberFormat="1" applyFont="1" applyAlignment="1">
      <alignment horizontal="left" wrapText="1"/>
    </xf>
    <xf numFmtId="168" fontId="54" fillId="6" borderId="10" xfId="0" applyNumberFormat="1" applyFont="1" applyFill="1" applyBorder="1" applyAlignment="1">
      <alignment horizontal="center" vertical="center" wrapText="1"/>
    </xf>
    <xf numFmtId="168" fontId="54" fillId="6" borderId="10" xfId="0" applyNumberFormat="1" applyFont="1" applyFill="1" applyBorder="1" applyAlignment="1">
      <alignment horizontal="center" vertical="top" wrapText="1"/>
    </xf>
    <xf numFmtId="168" fontId="54" fillId="6" borderId="8" xfId="0" applyNumberFormat="1" applyFont="1" applyFill="1" applyBorder="1" applyAlignment="1">
      <alignment horizontal="center" vertical="top" wrapText="1"/>
    </xf>
    <xf numFmtId="168" fontId="54" fillId="6" borderId="8" xfId="0" applyNumberFormat="1" applyFont="1" applyFill="1" applyBorder="1" applyAlignment="1">
      <alignment horizontal="center" vertical="center" wrapText="1"/>
    </xf>
    <xf numFmtId="188" fontId="31" fillId="0" borderId="0" xfId="0" applyNumberFormat="1" applyFont="1" applyAlignment="1">
      <alignment horizontal="left" vertical="top"/>
    </xf>
    <xf numFmtId="176" fontId="27" fillId="6" borderId="8" xfId="0" applyNumberFormat="1" applyFont="1" applyFill="1" applyBorder="1" applyAlignment="1">
      <alignment horizontal="center" vertical="center" wrapText="1"/>
    </xf>
    <xf numFmtId="176" fontId="27" fillId="6" borderId="7" xfId="0" applyNumberFormat="1" applyFont="1" applyFill="1" applyBorder="1" applyAlignment="1">
      <alignment horizontal="center" vertical="center" wrapText="1"/>
    </xf>
    <xf numFmtId="169" fontId="28" fillId="6" borderId="2" xfId="0" applyNumberFormat="1" applyFont="1" applyFill="1" applyBorder="1" applyAlignment="1">
      <alignment horizontal="center" vertical="center" wrapText="1"/>
    </xf>
    <xf numFmtId="169" fontId="28" fillId="6" borderId="10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left" vertical="top"/>
    </xf>
    <xf numFmtId="175" fontId="44" fillId="6" borderId="18" xfId="0" applyNumberFormat="1" applyFont="1" applyFill="1" applyBorder="1" applyAlignment="1">
      <alignment horizontal="center" vertical="center"/>
    </xf>
    <xf numFmtId="175" fontId="44" fillId="6" borderId="40" xfId="0" applyNumberFormat="1" applyFont="1" applyFill="1" applyBorder="1" applyAlignment="1">
      <alignment horizontal="center" vertical="center" shrinkToFit="1"/>
    </xf>
    <xf numFmtId="175" fontId="37" fillId="0" borderId="10" xfId="0" applyNumberFormat="1" applyFont="1" applyBorder="1" applyAlignment="1">
      <alignment horizontal="center" vertical="center" shrinkToFit="1"/>
    </xf>
    <xf numFmtId="0" fontId="28" fillId="2" borderId="54" xfId="0" applyFont="1" applyFill="1" applyBorder="1" applyAlignment="1">
      <alignment horizontal="center" vertical="center" wrapText="1"/>
    </xf>
    <xf numFmtId="167" fontId="37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horizontal="left" vertical="center"/>
    </xf>
    <xf numFmtId="2" fontId="27" fillId="13" borderId="2" xfId="0" applyNumberFormat="1" applyFont="1" applyFill="1" applyBorder="1" applyAlignment="1">
      <alignment horizontal="center" vertical="center" wrapText="1"/>
    </xf>
    <xf numFmtId="0" fontId="27" fillId="13" borderId="2" xfId="0" applyFont="1" applyFill="1" applyBorder="1" applyAlignment="1">
      <alignment horizontal="center" vertical="center" wrapText="1"/>
    </xf>
    <xf numFmtId="1" fontId="54" fillId="13" borderId="2" xfId="0" applyNumberFormat="1" applyFont="1" applyFill="1" applyBorder="1" applyAlignment="1">
      <alignment horizontal="center" vertical="center" wrapText="1"/>
    </xf>
    <xf numFmtId="0" fontId="54" fillId="13" borderId="2" xfId="0" applyFont="1" applyFill="1" applyBorder="1" applyAlignment="1">
      <alignment horizontal="center" vertical="center" wrapText="1"/>
    </xf>
    <xf numFmtId="165" fontId="44" fillId="6" borderId="2" xfId="0" applyNumberFormat="1" applyFont="1" applyFill="1" applyBorder="1" applyAlignment="1">
      <alignment horizontal="center" vertical="top" shrinkToFit="1"/>
    </xf>
    <xf numFmtId="165" fontId="44" fillId="6" borderId="2" xfId="0" applyNumberFormat="1" applyFont="1" applyFill="1" applyBorder="1" applyAlignment="1">
      <alignment horizontal="center" vertical="center" shrinkToFit="1"/>
    </xf>
    <xf numFmtId="168" fontId="44" fillId="6" borderId="2" xfId="0" applyNumberFormat="1" applyFont="1" applyFill="1" applyBorder="1" applyAlignment="1">
      <alignment horizontal="center" vertical="top" shrinkToFit="1"/>
    </xf>
    <xf numFmtId="168" fontId="44" fillId="6" borderId="1" xfId="0" applyNumberFormat="1" applyFont="1" applyFill="1" applyBorder="1" applyAlignment="1">
      <alignment horizontal="center" vertical="top" shrinkToFit="1"/>
    </xf>
    <xf numFmtId="168" fontId="37" fillId="6" borderId="2" xfId="0" applyNumberFormat="1" applyFont="1" applyFill="1" applyBorder="1" applyAlignment="1">
      <alignment horizontal="center" vertical="top" shrinkToFit="1"/>
    </xf>
    <xf numFmtId="168" fontId="37" fillId="7" borderId="2" xfId="0" applyNumberFormat="1" applyFont="1" applyFill="1" applyBorder="1" applyAlignment="1">
      <alignment horizontal="center" vertical="top" shrinkToFit="1"/>
    </xf>
    <xf numFmtId="168" fontId="37" fillId="7" borderId="1" xfId="0" applyNumberFormat="1" applyFont="1" applyFill="1" applyBorder="1" applyAlignment="1">
      <alignment horizontal="center" vertical="top" shrinkToFit="1"/>
    </xf>
    <xf numFmtId="3" fontId="3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0" fontId="37" fillId="0" borderId="0" xfId="0" applyNumberFormat="1" applyFont="1" applyAlignment="1">
      <alignment horizontal="left" vertical="top"/>
    </xf>
    <xf numFmtId="3" fontId="54" fillId="6" borderId="10" xfId="0" applyNumberFormat="1" applyFont="1" applyFill="1" applyBorder="1" applyAlignment="1">
      <alignment horizontal="center" vertical="center" wrapText="1"/>
    </xf>
    <xf numFmtId="4" fontId="23" fillId="0" borderId="0" xfId="0" applyNumberFormat="1" applyFont="1" applyAlignment="1">
      <alignment horizontal="center" vertical="center"/>
    </xf>
    <xf numFmtId="167" fontId="37" fillId="0" borderId="0" xfId="0" applyNumberFormat="1" applyFont="1" applyAlignment="1">
      <alignment horizontal="center" vertical="top"/>
    </xf>
    <xf numFmtId="169" fontId="63" fillId="0" borderId="0" xfId="0" applyNumberFormat="1" applyFont="1" applyAlignment="1">
      <alignment horizontal="center" vertical="center" wrapText="1"/>
    </xf>
    <xf numFmtId="3" fontId="27" fillId="7" borderId="2" xfId="0" applyNumberFormat="1" applyFont="1" applyFill="1" applyBorder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0" fontId="41" fillId="8" borderId="2" xfId="0" applyFont="1" applyFill="1" applyBorder="1" applyAlignment="1">
      <alignment horizontal="left" vertical="center" wrapText="1"/>
    </xf>
    <xf numFmtId="165" fontId="31" fillId="0" borderId="0" xfId="0" applyNumberFormat="1" applyFont="1" applyAlignment="1">
      <alignment horizontal="center" vertical="top"/>
    </xf>
    <xf numFmtId="0" fontId="54" fillId="0" borderId="8" xfId="0" applyFont="1" applyBorder="1" applyAlignment="1">
      <alignment horizontal="center" vertical="top" wrapText="1"/>
    </xf>
    <xf numFmtId="167" fontId="54" fillId="6" borderId="8" xfId="0" applyNumberFormat="1" applyFont="1" applyFill="1" applyBorder="1" applyAlignment="1">
      <alignment horizontal="center" vertical="center" wrapText="1"/>
    </xf>
    <xf numFmtId="167" fontId="55" fillId="10" borderId="8" xfId="0" applyNumberFormat="1" applyFont="1" applyFill="1" applyBorder="1" applyAlignment="1">
      <alignment horizontal="center" vertical="center" wrapText="1"/>
    </xf>
    <xf numFmtId="0" fontId="55" fillId="10" borderId="10" xfId="0" applyFont="1" applyFill="1" applyBorder="1" applyAlignment="1">
      <alignment horizontal="center" vertical="top" wrapText="1"/>
    </xf>
    <xf numFmtId="3" fontId="55" fillId="10" borderId="10" xfId="0" applyNumberFormat="1" applyFont="1" applyFill="1" applyBorder="1" applyAlignment="1">
      <alignment horizontal="center" vertical="center" wrapText="1"/>
    </xf>
    <xf numFmtId="167" fontId="55" fillId="0" borderId="0" xfId="0" applyNumberFormat="1" applyFont="1" applyAlignment="1">
      <alignment horizontal="center" vertical="center" wrapText="1"/>
    </xf>
    <xf numFmtId="0" fontId="55" fillId="10" borderId="10" xfId="0" applyFont="1" applyFill="1" applyBorder="1" applyAlignment="1">
      <alignment horizontal="left" vertical="center" wrapText="1"/>
    </xf>
    <xf numFmtId="168" fontId="24" fillId="0" borderId="0" xfId="0" applyNumberFormat="1" applyFont="1" applyAlignment="1">
      <alignment horizontal="center" vertical="center"/>
    </xf>
    <xf numFmtId="168" fontId="11" fillId="7" borderId="2" xfId="0" applyNumberFormat="1" applyFont="1" applyFill="1" applyBorder="1" applyAlignment="1">
      <alignment horizontal="center" vertical="center" wrapText="1"/>
    </xf>
    <xf numFmtId="0" fontId="18" fillId="0" borderId="5" xfId="0" applyFont="1" applyBorder="1" applyAlignment="1">
      <alignment vertical="top" wrapText="1"/>
    </xf>
    <xf numFmtId="0" fontId="18" fillId="0" borderId="6" xfId="0" applyFont="1" applyBorder="1" applyAlignment="1">
      <alignment vertical="top" wrapText="1"/>
    </xf>
    <xf numFmtId="2" fontId="55" fillId="0" borderId="0" xfId="0" applyNumberFormat="1" applyFont="1" applyAlignment="1">
      <alignment horizontal="center" vertical="center" wrapText="1"/>
    </xf>
    <xf numFmtId="165" fontId="54" fillId="7" borderId="21" xfId="0" applyNumberFormat="1" applyFont="1" applyFill="1" applyBorder="1" applyAlignment="1">
      <alignment horizontal="center" vertical="center" wrapText="1"/>
    </xf>
    <xf numFmtId="165" fontId="54" fillId="7" borderId="22" xfId="0" applyNumberFormat="1" applyFont="1" applyFill="1" applyBorder="1" applyAlignment="1">
      <alignment horizontal="center" vertical="center" wrapText="1"/>
    </xf>
    <xf numFmtId="165" fontId="54" fillId="7" borderId="70" xfId="0" applyNumberFormat="1" applyFont="1" applyFill="1" applyBorder="1" applyAlignment="1">
      <alignment horizontal="center" vertical="center" wrapText="1"/>
    </xf>
    <xf numFmtId="165" fontId="54" fillId="7" borderId="39" xfId="0" applyNumberFormat="1" applyFont="1" applyFill="1" applyBorder="1" applyAlignment="1">
      <alignment horizontal="center" vertical="center" wrapText="1"/>
    </xf>
    <xf numFmtId="165" fontId="37" fillId="0" borderId="0" xfId="0" applyNumberFormat="1" applyFont="1" applyAlignment="1">
      <alignment horizontal="center" vertical="center"/>
    </xf>
    <xf numFmtId="168" fontId="27" fillId="6" borderId="2" xfId="0" applyNumberFormat="1" applyFont="1" applyFill="1" applyBorder="1" applyAlignment="1">
      <alignment horizontal="center" vertical="center" wrapText="1"/>
    </xf>
    <xf numFmtId="4" fontId="30" fillId="0" borderId="0" xfId="0" applyNumberFormat="1" applyFont="1" applyAlignment="1">
      <alignment horizontal="center" vertical="center"/>
    </xf>
    <xf numFmtId="2" fontId="54" fillId="7" borderId="21" xfId="0" applyNumberFormat="1" applyFont="1" applyFill="1" applyBorder="1" applyAlignment="1">
      <alignment horizontal="center" vertical="center" wrapText="1"/>
    </xf>
    <xf numFmtId="169" fontId="55" fillId="14" borderId="2" xfId="0" applyNumberFormat="1" applyFont="1" applyFill="1" applyBorder="1" applyAlignment="1">
      <alignment horizontal="center" vertical="center" wrapText="1"/>
    </xf>
    <xf numFmtId="167" fontId="37" fillId="7" borderId="3" xfId="0" applyNumberFormat="1" applyFont="1" applyFill="1" applyBorder="1" applyAlignment="1">
      <alignment horizontal="center" vertical="top" shrinkToFit="1"/>
    </xf>
    <xf numFmtId="167" fontId="37" fillId="7" borderId="10" xfId="0" applyNumberFormat="1" applyFont="1" applyFill="1" applyBorder="1" applyAlignment="1">
      <alignment horizontal="center" vertical="top" shrinkToFit="1"/>
    </xf>
    <xf numFmtId="165" fontId="44" fillId="10" borderId="2" xfId="0" applyNumberFormat="1" applyFont="1" applyFill="1" applyBorder="1" applyAlignment="1">
      <alignment horizontal="center" vertical="center" shrinkToFit="1"/>
    </xf>
    <xf numFmtId="10" fontId="54" fillId="13" borderId="10" xfId="0" applyNumberFormat="1" applyFont="1" applyFill="1" applyBorder="1" applyAlignment="1">
      <alignment horizontal="center" vertical="top" wrapText="1"/>
    </xf>
    <xf numFmtId="181" fontId="37" fillId="10" borderId="0" xfId="0" applyNumberFormat="1" applyFont="1" applyFill="1" applyAlignment="1">
      <alignment horizontal="center" vertical="center" wrapText="1"/>
    </xf>
    <xf numFmtId="172" fontId="55" fillId="10" borderId="2" xfId="0" applyNumberFormat="1" applyFont="1" applyFill="1" applyBorder="1" applyAlignment="1">
      <alignment horizontal="center" vertical="center" wrapText="1"/>
    </xf>
    <xf numFmtId="189" fontId="55" fillId="10" borderId="2" xfId="0" applyNumberFormat="1" applyFont="1" applyFill="1" applyBorder="1" applyAlignment="1">
      <alignment horizontal="center" vertical="center" wrapText="1"/>
    </xf>
    <xf numFmtId="185" fontId="22" fillId="8" borderId="10" xfId="0" applyNumberFormat="1" applyFont="1" applyFill="1" applyBorder="1" applyAlignment="1">
      <alignment horizontal="center" vertical="center"/>
    </xf>
    <xf numFmtId="3" fontId="18" fillId="0" borderId="4" xfId="0" applyNumberFormat="1" applyFont="1" applyBorder="1" applyAlignment="1">
      <alignment vertical="top" wrapText="1"/>
    </xf>
    <xf numFmtId="3" fontId="18" fillId="0" borderId="5" xfId="0" applyNumberFormat="1" applyFont="1" applyBorder="1" applyAlignment="1">
      <alignment vertical="top" wrapText="1"/>
    </xf>
    <xf numFmtId="3" fontId="18" fillId="0" borderId="6" xfId="0" applyNumberFormat="1" applyFont="1" applyBorder="1" applyAlignment="1">
      <alignment vertical="top" wrapText="1"/>
    </xf>
    <xf numFmtId="3" fontId="0" fillId="0" borderId="4" xfId="0" applyNumberFormat="1" applyBorder="1" applyAlignment="1">
      <alignment horizontal="left" wrapText="1"/>
    </xf>
    <xf numFmtId="191" fontId="37" fillId="0" borderId="0" xfId="0" applyNumberFormat="1" applyFont="1" applyAlignment="1">
      <alignment horizontal="center" vertical="center" wrapText="1"/>
    </xf>
    <xf numFmtId="191" fontId="37" fillId="0" borderId="0" xfId="0" applyNumberFormat="1" applyFont="1" applyAlignment="1">
      <alignment horizontal="left" wrapText="1"/>
    </xf>
    <xf numFmtId="190" fontId="31" fillId="0" borderId="0" xfId="0" applyNumberFormat="1" applyFont="1" applyAlignment="1">
      <alignment horizontal="center" vertical="center"/>
    </xf>
    <xf numFmtId="0" fontId="55" fillId="0" borderId="73" xfId="0" applyFont="1" applyBorder="1" applyAlignment="1">
      <alignment vertical="center"/>
    </xf>
    <xf numFmtId="168" fontId="37" fillId="0" borderId="0" xfId="0" applyNumberFormat="1" applyFont="1" applyAlignment="1">
      <alignment horizontal="center" vertical="center"/>
    </xf>
    <xf numFmtId="191" fontId="37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91" fontId="32" fillId="0" borderId="0" xfId="0" applyNumberFormat="1" applyFont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191" fontId="0" fillId="0" borderId="30" xfId="0" applyNumberForma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91" fontId="0" fillId="0" borderId="66" xfId="0" applyNumberFormat="1" applyBorder="1" applyAlignment="1">
      <alignment horizontal="center" vertical="center"/>
    </xf>
    <xf numFmtId="191" fontId="24" fillId="0" borderId="27" xfId="0" applyNumberFormat="1" applyFont="1" applyBorder="1" applyAlignment="1">
      <alignment horizontal="center" vertical="center"/>
    </xf>
    <xf numFmtId="0" fontId="24" fillId="0" borderId="7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168" fontId="0" fillId="0" borderId="0" xfId="0" applyNumberFormat="1" applyAlignment="1">
      <alignment horizontal="left" vertical="top"/>
    </xf>
    <xf numFmtId="0" fontId="45" fillId="0" borderId="0" xfId="0" applyFont="1" applyAlignment="1">
      <alignment horizontal="left" vertical="center"/>
    </xf>
    <xf numFmtId="190" fontId="41" fillId="0" borderId="0" xfId="0" applyNumberFormat="1" applyFont="1" applyAlignment="1">
      <alignment vertical="center"/>
    </xf>
    <xf numFmtId="180" fontId="55" fillId="0" borderId="43" xfId="0" applyNumberFormat="1" applyFont="1" applyBorder="1" applyAlignment="1">
      <alignment vertical="center" wrapText="1"/>
    </xf>
    <xf numFmtId="191" fontId="31" fillId="0" borderId="0" xfId="0" applyNumberFormat="1" applyFont="1" applyAlignment="1">
      <alignment horizontal="center" vertical="center"/>
    </xf>
    <xf numFmtId="192" fontId="0" fillId="0" borderId="0" xfId="0" applyNumberFormat="1" applyAlignment="1">
      <alignment horizontal="left" vertical="top"/>
    </xf>
    <xf numFmtId="0" fontId="55" fillId="0" borderId="0" xfId="0" applyFont="1" applyAlignment="1">
      <alignment horizontal="center" vertical="center"/>
    </xf>
    <xf numFmtId="190" fontId="37" fillId="0" borderId="0" xfId="0" applyNumberFormat="1" applyFont="1" applyAlignment="1">
      <alignment horizontal="center" vertical="center" wrapText="1"/>
    </xf>
    <xf numFmtId="192" fontId="31" fillId="0" borderId="0" xfId="0" applyNumberFormat="1" applyFont="1" applyAlignment="1">
      <alignment horizontal="center" vertical="center"/>
    </xf>
    <xf numFmtId="167" fontId="55" fillId="0" borderId="73" xfId="0" applyNumberFormat="1" applyFont="1" applyBorder="1" applyAlignment="1">
      <alignment vertical="center"/>
    </xf>
    <xf numFmtId="190" fontId="22" fillId="0" borderId="0" xfId="0" applyNumberFormat="1" applyFont="1" applyAlignment="1">
      <alignment horizontal="center" vertical="center"/>
    </xf>
    <xf numFmtId="190" fontId="22" fillId="0" borderId="0" xfId="0" applyNumberFormat="1" applyFont="1" applyAlignment="1">
      <alignment horizontal="left" vertical="center"/>
    </xf>
    <xf numFmtId="190" fontId="37" fillId="0" borderId="0" xfId="0" applyNumberFormat="1" applyFont="1" applyAlignment="1">
      <alignment horizontal="center" vertical="center"/>
    </xf>
    <xf numFmtId="191" fontId="29" fillId="0" borderId="0" xfId="13" applyNumberFormat="1" applyFont="1"/>
    <xf numFmtId="191" fontId="29" fillId="0" borderId="0" xfId="13" applyNumberFormat="1" applyFont="1" applyAlignment="1">
      <alignment horizontal="center" vertical="center"/>
    </xf>
    <xf numFmtId="0" fontId="64" fillId="0" borderId="0" xfId="0" applyFont="1" applyAlignment="1">
      <alignment vertical="center"/>
    </xf>
    <xf numFmtId="165" fontId="22" fillId="0" borderId="0" xfId="0" applyNumberFormat="1" applyFont="1" applyAlignment="1">
      <alignment horizontal="center" vertical="center" wrapText="1"/>
    </xf>
    <xf numFmtId="193" fontId="31" fillId="0" borderId="0" xfId="0" applyNumberFormat="1" applyFont="1" applyAlignment="1">
      <alignment horizontal="center" vertical="center" wrapText="1"/>
    </xf>
    <xf numFmtId="1" fontId="19" fillId="13" borderId="2" xfId="0" applyNumberFormat="1" applyFont="1" applyFill="1" applyBorder="1" applyAlignment="1">
      <alignment horizontal="center" vertical="top" shrinkToFit="1"/>
    </xf>
    <xf numFmtId="3" fontId="20" fillId="13" borderId="2" xfId="0" applyNumberFormat="1" applyFont="1" applyFill="1" applyBorder="1" applyAlignment="1">
      <alignment horizontal="center" vertical="top" wrapText="1"/>
    </xf>
    <xf numFmtId="3" fontId="11" fillId="13" borderId="2" xfId="0" applyNumberFormat="1" applyFont="1" applyFill="1" applyBorder="1" applyAlignment="1">
      <alignment horizontal="center" vertical="center" wrapText="1"/>
    </xf>
    <xf numFmtId="168" fontId="20" fillId="13" borderId="2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165" fontId="54" fillId="6" borderId="1" xfId="0" applyNumberFormat="1" applyFont="1" applyFill="1" applyBorder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/>
    </xf>
    <xf numFmtId="1" fontId="44" fillId="10" borderId="2" xfId="0" applyNumberFormat="1" applyFont="1" applyFill="1" applyBorder="1" applyAlignment="1">
      <alignment horizontal="center" vertical="center" shrinkToFit="1"/>
    </xf>
    <xf numFmtId="191" fontId="37" fillId="0" borderId="1" xfId="0" applyNumberFormat="1" applyFont="1" applyBorder="1" applyAlignment="1">
      <alignment horizontal="center" vertical="top" shrinkToFit="1"/>
    </xf>
    <xf numFmtId="191" fontId="37" fillId="0" borderId="10" xfId="0" applyNumberFormat="1" applyFont="1" applyBorder="1" applyAlignment="1">
      <alignment horizontal="center" vertical="center"/>
    </xf>
    <xf numFmtId="191" fontId="37" fillId="4" borderId="10" xfId="0" applyNumberFormat="1" applyFont="1" applyFill="1" applyBorder="1" applyAlignment="1">
      <alignment horizontal="center" vertical="center" shrinkToFit="1"/>
    </xf>
    <xf numFmtId="167" fontId="27" fillId="13" borderId="2" xfId="0" applyNumberFormat="1" applyFont="1" applyFill="1" applyBorder="1" applyAlignment="1">
      <alignment horizontal="center" vertical="center" wrapText="1"/>
    </xf>
    <xf numFmtId="10" fontId="27" fillId="13" borderId="2" xfId="0" applyNumberFormat="1" applyFont="1" applyFill="1" applyBorder="1" applyAlignment="1">
      <alignment horizontal="center" vertical="center" wrapText="1"/>
    </xf>
    <xf numFmtId="1" fontId="27" fillId="7" borderId="2" xfId="0" applyNumberFormat="1" applyFont="1" applyFill="1" applyBorder="1" applyAlignment="1">
      <alignment horizontal="center" vertical="center" wrapText="1"/>
    </xf>
    <xf numFmtId="1" fontId="28" fillId="7" borderId="2" xfId="0" applyNumberFormat="1" applyFont="1" applyFill="1" applyBorder="1" applyAlignment="1">
      <alignment horizontal="center" vertical="center" wrapText="1"/>
    </xf>
    <xf numFmtId="167" fontId="28" fillId="7" borderId="2" xfId="0" applyNumberFormat="1" applyFont="1" applyFill="1" applyBorder="1" applyAlignment="1">
      <alignment horizontal="center" vertical="center" wrapText="1"/>
    </xf>
    <xf numFmtId="0" fontId="34" fillId="2" borderId="24" xfId="0" applyFont="1" applyFill="1" applyBorder="1" applyAlignment="1">
      <alignment vertical="top"/>
    </xf>
    <xf numFmtId="0" fontId="7" fillId="2" borderId="24" xfId="0" applyFont="1" applyFill="1" applyBorder="1" applyAlignment="1">
      <alignment vertical="top" wrapText="1"/>
    </xf>
    <xf numFmtId="0" fontId="6" fillId="0" borderId="76" xfId="0" applyFont="1" applyBorder="1" applyAlignment="1">
      <alignment horizontal="center" vertical="center" wrapText="1"/>
    </xf>
    <xf numFmtId="0" fontId="34" fillId="2" borderId="61" xfId="0" applyFont="1" applyFill="1" applyBorder="1" applyAlignment="1">
      <alignment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 wrapText="1"/>
    </xf>
    <xf numFmtId="0" fontId="6" fillId="0" borderId="78" xfId="0" applyFont="1" applyBorder="1" applyAlignment="1">
      <alignment horizontal="center" vertical="center" wrapText="1"/>
    </xf>
    <xf numFmtId="2" fontId="28" fillId="6" borderId="2" xfId="0" applyNumberFormat="1" applyFont="1" applyFill="1" applyBorder="1" applyAlignment="1">
      <alignment horizontal="center" vertical="center" wrapText="1"/>
    </xf>
    <xf numFmtId="2" fontId="28" fillId="6" borderId="10" xfId="0" applyNumberFormat="1" applyFont="1" applyFill="1" applyBorder="1" applyAlignment="1">
      <alignment horizontal="center" vertical="center"/>
    </xf>
    <xf numFmtId="165" fontId="54" fillId="10" borderId="1" xfId="0" applyNumberFormat="1" applyFont="1" applyFill="1" applyBorder="1" applyAlignment="1">
      <alignment horizontal="center" vertical="center" wrapText="1"/>
    </xf>
    <xf numFmtId="175" fontId="27" fillId="6" borderId="8" xfId="0" applyNumberFormat="1" applyFont="1" applyFill="1" applyBorder="1" applyAlignment="1">
      <alignment horizontal="center" vertical="center" wrapText="1"/>
    </xf>
    <xf numFmtId="167" fontId="44" fillId="6" borderId="2" xfId="0" applyNumberFormat="1" applyFont="1" applyFill="1" applyBorder="1" applyAlignment="1">
      <alignment horizontal="center" vertical="center" shrinkToFit="1"/>
    </xf>
    <xf numFmtId="177" fontId="37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 vertical="center" wrapText="1"/>
    </xf>
    <xf numFmtId="165" fontId="37" fillId="0" borderId="0" xfId="0" applyNumberFormat="1" applyFont="1" applyAlignment="1">
      <alignment horizontal="center" vertical="top"/>
    </xf>
    <xf numFmtId="176" fontId="37" fillId="0" borderId="0" xfId="0" applyNumberFormat="1" applyFont="1" applyAlignment="1">
      <alignment horizontal="center" vertical="center"/>
    </xf>
    <xf numFmtId="176" fontId="28" fillId="7" borderId="18" xfId="0" applyNumberFormat="1" applyFont="1" applyFill="1" applyBorder="1" applyAlignment="1">
      <alignment horizontal="center" vertical="center" wrapText="1"/>
    </xf>
    <xf numFmtId="176" fontId="28" fillId="6" borderId="7" xfId="0" applyNumberFormat="1" applyFont="1" applyFill="1" applyBorder="1" applyAlignment="1">
      <alignment horizontal="center" vertical="center" wrapText="1"/>
    </xf>
    <xf numFmtId="169" fontId="28" fillId="7" borderId="1" xfId="0" applyNumberFormat="1" applyFont="1" applyFill="1" applyBorder="1" applyAlignment="1">
      <alignment horizontal="center" vertical="center" wrapText="1"/>
    </xf>
    <xf numFmtId="169" fontId="28" fillId="7" borderId="2" xfId="0" applyNumberFormat="1" applyFont="1" applyFill="1" applyBorder="1" applyAlignment="1">
      <alignment horizontal="center" vertical="center" wrapText="1"/>
    </xf>
    <xf numFmtId="167" fontId="27" fillId="13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190" fontId="31" fillId="0" borderId="0" xfId="0" applyNumberFormat="1" applyFont="1" applyAlignment="1">
      <alignment horizontal="center" vertical="top"/>
    </xf>
    <xf numFmtId="191" fontId="2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6" fontId="37" fillId="0" borderId="0" xfId="0" applyNumberFormat="1" applyFont="1" applyAlignment="1">
      <alignment horizontal="center" vertical="center" wrapText="1"/>
    </xf>
    <xf numFmtId="176" fontId="27" fillId="6" borderId="11" xfId="0" applyNumberFormat="1" applyFont="1" applyFill="1" applyBorder="1" applyAlignment="1">
      <alignment horizontal="center" vertical="center"/>
    </xf>
    <xf numFmtId="176" fontId="27" fillId="6" borderId="36" xfId="0" applyNumberFormat="1" applyFont="1" applyFill="1" applyBorder="1" applyAlignment="1">
      <alignment horizontal="center" vertical="center"/>
    </xf>
    <xf numFmtId="190" fontId="37" fillId="0" borderId="0" xfId="0" applyNumberFormat="1" applyFont="1" applyAlignment="1">
      <alignment horizontal="left" wrapText="1"/>
    </xf>
    <xf numFmtId="194" fontId="22" fillId="0" borderId="0" xfId="0" applyNumberFormat="1" applyFont="1" applyAlignment="1">
      <alignment horizontal="center" vertical="center" wrapText="1"/>
    </xf>
    <xf numFmtId="168" fontId="37" fillId="0" borderId="0" xfId="0" applyNumberFormat="1" applyFont="1" applyAlignment="1">
      <alignment horizontal="left" wrapText="1"/>
    </xf>
    <xf numFmtId="4" fontId="22" fillId="0" borderId="0" xfId="0" applyNumberFormat="1" applyFont="1" applyAlignment="1">
      <alignment horizontal="center" vertical="center"/>
    </xf>
    <xf numFmtId="189" fontId="44" fillId="5" borderId="2" xfId="0" applyNumberFormat="1" applyFont="1" applyFill="1" applyBorder="1" applyAlignment="1">
      <alignment horizontal="center" vertical="center" shrinkToFit="1"/>
    </xf>
    <xf numFmtId="1" fontId="31" fillId="0" borderId="0" xfId="0" applyNumberFormat="1" applyFont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172" fontId="44" fillId="7" borderId="1" xfId="0" applyNumberFormat="1" applyFont="1" applyFill="1" applyBorder="1" applyAlignment="1">
      <alignment horizontal="center" vertical="center" shrinkToFit="1"/>
    </xf>
    <xf numFmtId="172" fontId="44" fillId="7" borderId="4" xfId="0" applyNumberFormat="1" applyFont="1" applyFill="1" applyBorder="1" applyAlignment="1">
      <alignment horizontal="center" vertical="center" shrinkToFit="1"/>
    </xf>
    <xf numFmtId="172" fontId="44" fillId="7" borderId="10" xfId="0" applyNumberFormat="1" applyFont="1" applyFill="1" applyBorder="1" applyAlignment="1">
      <alignment horizontal="center" vertical="center" shrinkToFit="1"/>
    </xf>
    <xf numFmtId="169" fontId="2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top" wrapText="1"/>
    </xf>
    <xf numFmtId="4" fontId="30" fillId="0" borderId="0" xfId="0" applyNumberFormat="1" applyFont="1" applyAlignment="1">
      <alignment horizontal="center" vertical="center" wrapText="1"/>
    </xf>
    <xf numFmtId="170" fontId="30" fillId="0" borderId="0" xfId="0" applyNumberFormat="1" applyFont="1" applyAlignment="1">
      <alignment horizontal="center" vertical="top" wrapText="1"/>
    </xf>
    <xf numFmtId="166" fontId="30" fillId="0" borderId="0" xfId="0" applyNumberFormat="1" applyFont="1" applyAlignment="1">
      <alignment horizontal="center" vertical="center" wrapText="1"/>
    </xf>
    <xf numFmtId="165" fontId="30" fillId="0" borderId="0" xfId="0" applyNumberFormat="1" applyFont="1" applyAlignment="1">
      <alignment horizontal="center" vertical="top" wrapText="1"/>
    </xf>
    <xf numFmtId="0" fontId="30" fillId="0" borderId="0" xfId="0" applyFont="1" applyAlignment="1">
      <alignment horizontal="center" wrapText="1"/>
    </xf>
    <xf numFmtId="0" fontId="67" fillId="0" borderId="0" xfId="0" applyFont="1" applyAlignment="1">
      <alignment horizontal="center" vertical="top" wrapText="1"/>
    </xf>
    <xf numFmtId="0" fontId="30" fillId="0" borderId="0" xfId="0" applyFont="1" applyAlignment="1">
      <alignment horizontal="center" vertical="top"/>
    </xf>
    <xf numFmtId="4" fontId="68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left" vertical="top"/>
    </xf>
    <xf numFmtId="10" fontId="22" fillId="0" borderId="0" xfId="0" applyNumberFormat="1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68" fontId="27" fillId="10" borderId="2" xfId="0" applyNumberFormat="1" applyFont="1" applyFill="1" applyBorder="1" applyAlignment="1">
      <alignment horizontal="center" vertical="center" wrapText="1"/>
    </xf>
    <xf numFmtId="180" fontId="55" fillId="0" borderId="0" xfId="0" applyNumberFormat="1" applyFont="1" applyAlignment="1">
      <alignment horizontal="center" vertical="center" wrapText="1"/>
    </xf>
    <xf numFmtId="180" fontId="54" fillId="7" borderId="22" xfId="0" applyNumberFormat="1" applyFont="1" applyFill="1" applyBorder="1" applyAlignment="1">
      <alignment horizontal="center" vertical="center" wrapText="1"/>
    </xf>
    <xf numFmtId="180" fontId="54" fillId="7" borderId="70" xfId="0" applyNumberFormat="1" applyFont="1" applyFill="1" applyBorder="1" applyAlignment="1">
      <alignment horizontal="center" vertical="center" wrapText="1"/>
    </xf>
    <xf numFmtId="180" fontId="54" fillId="7" borderId="39" xfId="0" applyNumberFormat="1" applyFont="1" applyFill="1" applyBorder="1" applyAlignment="1">
      <alignment horizontal="center" vertical="center" wrapText="1"/>
    </xf>
    <xf numFmtId="195" fontId="22" fillId="0" borderId="0" xfId="0" applyNumberFormat="1" applyFont="1" applyAlignment="1">
      <alignment horizontal="center" vertical="center"/>
    </xf>
    <xf numFmtId="196" fontId="37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3" fontId="69" fillId="0" borderId="4" xfId="0" applyNumberFormat="1" applyFont="1" applyBorder="1" applyAlignment="1">
      <alignment horizontal="center" vertical="center" wrapText="1"/>
    </xf>
    <xf numFmtId="3" fontId="69" fillId="0" borderId="5" xfId="0" applyNumberFormat="1" applyFont="1" applyBorder="1" applyAlignment="1">
      <alignment horizontal="center" vertical="center" wrapText="1"/>
    </xf>
    <xf numFmtId="3" fontId="69" fillId="0" borderId="6" xfId="0" applyNumberFormat="1" applyFont="1" applyBorder="1" applyAlignment="1">
      <alignment horizontal="center" vertical="center" wrapText="1"/>
    </xf>
    <xf numFmtId="10" fontId="70" fillId="0" borderId="10" xfId="0" applyNumberFormat="1" applyFont="1" applyBorder="1" applyAlignment="1">
      <alignment horizontal="center" vertical="center" wrapText="1"/>
    </xf>
    <xf numFmtId="10" fontId="70" fillId="0" borderId="40" xfId="0" applyNumberFormat="1" applyFont="1" applyBorder="1" applyAlignment="1">
      <alignment horizontal="center" vertical="center" wrapText="1"/>
    </xf>
    <xf numFmtId="10" fontId="70" fillId="0" borderId="41" xfId="0" applyNumberFormat="1" applyFont="1" applyBorder="1" applyAlignment="1">
      <alignment horizontal="center" vertical="center" wrapText="1"/>
    </xf>
    <xf numFmtId="10" fontId="70" fillId="0" borderId="16" xfId="0" applyNumberFormat="1" applyFont="1" applyBorder="1" applyAlignment="1">
      <alignment horizontal="center" vertical="center" wrapText="1"/>
    </xf>
    <xf numFmtId="10" fontId="70" fillId="0" borderId="18" xfId="0" applyNumberFormat="1" applyFont="1" applyBorder="1" applyAlignment="1">
      <alignment horizontal="center" vertical="center" wrapText="1"/>
    </xf>
    <xf numFmtId="10" fontId="70" fillId="0" borderId="19" xfId="0" applyNumberFormat="1" applyFont="1" applyBorder="1" applyAlignment="1">
      <alignment horizontal="center" vertical="center" wrapText="1"/>
    </xf>
    <xf numFmtId="10" fontId="71" fillId="0" borderId="79" xfId="0" applyNumberFormat="1" applyFont="1" applyBorder="1" applyAlignment="1">
      <alignment horizontal="center" vertical="center" wrapText="1"/>
    </xf>
    <xf numFmtId="10" fontId="71" fillId="0" borderId="80" xfId="0" applyNumberFormat="1" applyFont="1" applyBorder="1" applyAlignment="1">
      <alignment horizontal="center" vertical="center" wrapText="1"/>
    </xf>
    <xf numFmtId="10" fontId="70" fillId="0" borderId="81" xfId="0" applyNumberFormat="1" applyFont="1" applyBorder="1" applyAlignment="1">
      <alignment horizontal="center" vertical="center" wrapText="1"/>
    </xf>
    <xf numFmtId="10" fontId="70" fillId="0" borderId="67" xfId="0" applyNumberFormat="1" applyFont="1" applyBorder="1" applyAlignment="1">
      <alignment horizontal="center" vertical="center" wrapText="1"/>
    </xf>
    <xf numFmtId="10" fontId="70" fillId="0" borderId="60" xfId="0" applyNumberFormat="1" applyFont="1" applyBorder="1" applyAlignment="1">
      <alignment horizontal="center" vertical="center" wrapText="1"/>
    </xf>
    <xf numFmtId="10" fontId="71" fillId="0" borderId="82" xfId="0" applyNumberFormat="1" applyFont="1" applyBorder="1" applyAlignment="1">
      <alignment horizontal="center" vertical="center" wrapText="1"/>
    </xf>
    <xf numFmtId="169" fontId="63" fillId="0" borderId="83" xfId="0" applyNumberFormat="1" applyFont="1" applyBorder="1" applyAlignment="1">
      <alignment horizontal="center" vertical="center" wrapText="1"/>
    </xf>
    <xf numFmtId="169" fontId="63" fillId="0" borderId="68" xfId="0" applyNumberFormat="1" applyFont="1" applyBorder="1" applyAlignment="1">
      <alignment horizontal="center" vertical="center" wrapText="1"/>
    </xf>
    <xf numFmtId="169" fontId="63" fillId="0" borderId="69" xfId="0" applyNumberFormat="1" applyFont="1" applyBorder="1" applyAlignment="1">
      <alignment horizontal="center" vertical="center" wrapText="1"/>
    </xf>
    <xf numFmtId="169" fontId="66" fillId="0" borderId="84" xfId="0" applyNumberFormat="1" applyFont="1" applyBorder="1" applyAlignment="1">
      <alignment horizontal="center" vertical="center" wrapText="1"/>
    </xf>
    <xf numFmtId="0" fontId="55" fillId="16" borderId="54" xfId="0" applyFont="1" applyFill="1" applyBorder="1" applyAlignment="1">
      <alignment horizontal="center" vertical="center" wrapText="1"/>
    </xf>
    <xf numFmtId="0" fontId="55" fillId="16" borderId="38" xfId="0" applyFont="1" applyFill="1" applyBorder="1" applyAlignment="1">
      <alignment horizontal="center" vertical="center" wrapText="1"/>
    </xf>
    <xf numFmtId="0" fontId="54" fillId="16" borderId="38" xfId="0" applyFont="1" applyFill="1" applyBorder="1" applyAlignment="1">
      <alignment horizontal="center" vertical="center" wrapText="1"/>
    </xf>
    <xf numFmtId="0" fontId="54" fillId="16" borderId="39" xfId="0" applyFont="1" applyFill="1" applyBorder="1" applyAlignment="1">
      <alignment horizontal="center" vertical="center" wrapText="1"/>
    </xf>
    <xf numFmtId="169" fontId="65" fillId="0" borderId="0" xfId="0" applyNumberFormat="1" applyFont="1" applyAlignment="1">
      <alignment horizontal="left" vertical="center"/>
    </xf>
    <xf numFmtId="169" fontId="63" fillId="12" borderId="83" xfId="0" applyNumberFormat="1" applyFont="1" applyFill="1" applyBorder="1" applyAlignment="1">
      <alignment horizontal="center" vertical="center" wrapText="1"/>
    </xf>
    <xf numFmtId="169" fontId="63" fillId="12" borderId="68" xfId="0" applyNumberFormat="1" applyFont="1" applyFill="1" applyBorder="1" applyAlignment="1">
      <alignment horizontal="center" vertical="center" wrapText="1"/>
    </xf>
    <xf numFmtId="10" fontId="70" fillId="12" borderId="67" xfId="0" applyNumberFormat="1" applyFont="1" applyFill="1" applyBorder="1" applyAlignment="1">
      <alignment horizontal="center" vertical="center" wrapText="1"/>
    </xf>
    <xf numFmtId="10" fontId="70" fillId="12" borderId="10" xfId="0" applyNumberFormat="1" applyFont="1" applyFill="1" applyBorder="1" applyAlignment="1">
      <alignment horizontal="center" vertical="center" wrapText="1"/>
    </xf>
    <xf numFmtId="10" fontId="70" fillId="12" borderId="16" xfId="0" applyNumberFormat="1" applyFont="1" applyFill="1" applyBorder="1" applyAlignment="1">
      <alignment horizontal="center" vertical="center" wrapText="1"/>
    </xf>
    <xf numFmtId="10" fontId="70" fillId="12" borderId="81" xfId="0" applyNumberFormat="1" applyFont="1" applyFill="1" applyBorder="1" applyAlignment="1">
      <alignment horizontal="center" vertical="center" wrapText="1"/>
    </xf>
    <xf numFmtId="10" fontId="70" fillId="12" borderId="40" xfId="0" applyNumberFormat="1" applyFont="1" applyFill="1" applyBorder="1" applyAlignment="1">
      <alignment horizontal="center" vertical="center" wrapText="1"/>
    </xf>
    <xf numFmtId="10" fontId="70" fillId="12" borderId="41" xfId="0" applyNumberFormat="1" applyFont="1" applyFill="1" applyBorder="1" applyAlignment="1">
      <alignment horizontal="center" vertical="center" wrapText="1"/>
    </xf>
    <xf numFmtId="169" fontId="63" fillId="12" borderId="69" xfId="0" applyNumberFormat="1" applyFont="1" applyFill="1" applyBorder="1" applyAlignment="1">
      <alignment horizontal="center" vertical="center" wrapText="1"/>
    </xf>
    <xf numFmtId="10" fontId="70" fillId="12" borderId="60" xfId="0" applyNumberFormat="1" applyFont="1" applyFill="1" applyBorder="1" applyAlignment="1">
      <alignment horizontal="center" vertical="center" wrapText="1"/>
    </xf>
    <xf numFmtId="10" fontId="70" fillId="12" borderId="18" xfId="0" applyNumberFormat="1" applyFont="1" applyFill="1" applyBorder="1" applyAlignment="1">
      <alignment horizontal="center" vertical="center" wrapText="1"/>
    </xf>
    <xf numFmtId="10" fontId="70" fillId="12" borderId="19" xfId="0" applyNumberFormat="1" applyFont="1" applyFill="1" applyBorder="1" applyAlignment="1">
      <alignment horizontal="center" vertical="center" wrapText="1"/>
    </xf>
    <xf numFmtId="169" fontId="66" fillId="17" borderId="83" xfId="0" applyNumberFormat="1" applyFont="1" applyFill="1" applyBorder="1" applyAlignment="1">
      <alignment horizontal="center" vertical="center" wrapText="1"/>
    </xf>
    <xf numFmtId="10" fontId="71" fillId="17" borderId="81" xfId="0" applyNumberFormat="1" applyFont="1" applyFill="1" applyBorder="1" applyAlignment="1">
      <alignment horizontal="center" vertical="center" wrapText="1"/>
    </xf>
    <xf numFmtId="10" fontId="71" fillId="17" borderId="40" xfId="0" applyNumberFormat="1" applyFont="1" applyFill="1" applyBorder="1" applyAlignment="1">
      <alignment horizontal="center" vertical="center" wrapText="1"/>
    </xf>
    <xf numFmtId="10" fontId="71" fillId="17" borderId="41" xfId="0" applyNumberFormat="1" applyFont="1" applyFill="1" applyBorder="1" applyAlignment="1">
      <alignment horizontal="center" vertical="center" wrapText="1"/>
    </xf>
    <xf numFmtId="169" fontId="66" fillId="13" borderId="83" xfId="0" applyNumberFormat="1" applyFont="1" applyFill="1" applyBorder="1" applyAlignment="1">
      <alignment horizontal="center" vertical="center" wrapText="1"/>
    </xf>
    <xf numFmtId="10" fontId="71" fillId="13" borderId="81" xfId="0" applyNumberFormat="1" applyFont="1" applyFill="1" applyBorder="1" applyAlignment="1">
      <alignment horizontal="center" vertical="center" wrapText="1"/>
    </xf>
    <xf numFmtId="10" fontId="71" fillId="13" borderId="40" xfId="0" applyNumberFormat="1" applyFont="1" applyFill="1" applyBorder="1" applyAlignment="1">
      <alignment horizontal="center" vertical="center" wrapText="1"/>
    </xf>
    <xf numFmtId="10" fontId="71" fillId="13" borderId="41" xfId="0" applyNumberFormat="1" applyFont="1" applyFill="1" applyBorder="1" applyAlignment="1">
      <alignment horizontal="center" vertical="center" wrapText="1"/>
    </xf>
    <xf numFmtId="169" fontId="63" fillId="7" borderId="68" xfId="0" applyNumberFormat="1" applyFont="1" applyFill="1" applyBorder="1" applyAlignment="1">
      <alignment horizontal="center" vertical="center" wrapText="1"/>
    </xf>
    <xf numFmtId="169" fontId="63" fillId="7" borderId="69" xfId="0" applyNumberFormat="1" applyFont="1" applyFill="1" applyBorder="1" applyAlignment="1">
      <alignment horizontal="center" vertical="center" wrapText="1"/>
    </xf>
    <xf numFmtId="169" fontId="63" fillId="7" borderId="83" xfId="0" applyNumberFormat="1" applyFont="1" applyFill="1" applyBorder="1" applyAlignment="1">
      <alignment horizontal="center" vertical="center" wrapText="1"/>
    </xf>
    <xf numFmtId="10" fontId="70" fillId="7" borderId="67" xfId="0" applyNumberFormat="1" applyFont="1" applyFill="1" applyBorder="1" applyAlignment="1">
      <alignment horizontal="center" vertical="center" wrapText="1"/>
    </xf>
    <xf numFmtId="10" fontId="70" fillId="7" borderId="10" xfId="0" applyNumberFormat="1" applyFont="1" applyFill="1" applyBorder="1" applyAlignment="1">
      <alignment horizontal="center" vertical="center" wrapText="1"/>
    </xf>
    <xf numFmtId="10" fontId="70" fillId="7" borderId="16" xfId="0" applyNumberFormat="1" applyFont="1" applyFill="1" applyBorder="1" applyAlignment="1">
      <alignment horizontal="center" vertical="center" wrapText="1"/>
    </xf>
    <xf numFmtId="10" fontId="70" fillId="7" borderId="81" xfId="0" applyNumberFormat="1" applyFont="1" applyFill="1" applyBorder="1" applyAlignment="1">
      <alignment horizontal="center" vertical="center" wrapText="1"/>
    </xf>
    <xf numFmtId="10" fontId="70" fillId="7" borderId="40" xfId="0" applyNumberFormat="1" applyFont="1" applyFill="1" applyBorder="1" applyAlignment="1">
      <alignment horizontal="center" vertical="center" wrapText="1"/>
    </xf>
    <xf numFmtId="10" fontId="70" fillId="7" borderId="41" xfId="0" applyNumberFormat="1" applyFont="1" applyFill="1" applyBorder="1" applyAlignment="1">
      <alignment horizontal="center" vertical="center" wrapText="1"/>
    </xf>
    <xf numFmtId="10" fontId="70" fillId="7" borderId="60" xfId="0" applyNumberFormat="1" applyFont="1" applyFill="1" applyBorder="1" applyAlignment="1">
      <alignment horizontal="center" vertical="center" wrapText="1"/>
    </xf>
    <xf numFmtId="10" fontId="70" fillId="7" borderId="18" xfId="0" applyNumberFormat="1" applyFont="1" applyFill="1" applyBorder="1" applyAlignment="1">
      <alignment horizontal="center" vertical="center" wrapText="1"/>
    </xf>
    <xf numFmtId="10" fontId="70" fillId="7" borderId="19" xfId="0" applyNumberFormat="1" applyFont="1" applyFill="1" applyBorder="1" applyAlignment="1">
      <alignment horizontal="center" vertical="center" wrapText="1"/>
    </xf>
    <xf numFmtId="169" fontId="63" fillId="11" borderId="83" xfId="0" applyNumberFormat="1" applyFont="1" applyFill="1" applyBorder="1" applyAlignment="1">
      <alignment horizontal="center" vertical="center" wrapText="1"/>
    </xf>
    <xf numFmtId="10" fontId="70" fillId="11" borderId="81" xfId="0" applyNumberFormat="1" applyFont="1" applyFill="1" applyBorder="1" applyAlignment="1">
      <alignment horizontal="center" vertical="center" wrapText="1"/>
    </xf>
    <xf numFmtId="10" fontId="70" fillId="11" borderId="40" xfId="0" applyNumberFormat="1" applyFont="1" applyFill="1" applyBorder="1" applyAlignment="1">
      <alignment horizontal="center" vertical="center" wrapText="1"/>
    </xf>
    <xf numFmtId="10" fontId="70" fillId="11" borderId="41" xfId="0" applyNumberFormat="1" applyFont="1" applyFill="1" applyBorder="1" applyAlignment="1">
      <alignment horizontal="center" vertical="center" wrapText="1"/>
    </xf>
    <xf numFmtId="169" fontId="63" fillId="11" borderId="68" xfId="0" applyNumberFormat="1" applyFont="1" applyFill="1" applyBorder="1" applyAlignment="1">
      <alignment horizontal="center" vertical="center" wrapText="1"/>
    </xf>
    <xf numFmtId="10" fontId="70" fillId="11" borderId="67" xfId="0" applyNumberFormat="1" applyFont="1" applyFill="1" applyBorder="1" applyAlignment="1">
      <alignment horizontal="center" vertical="center" wrapText="1"/>
    </xf>
    <xf numFmtId="10" fontId="70" fillId="11" borderId="10" xfId="0" applyNumberFormat="1" applyFont="1" applyFill="1" applyBorder="1" applyAlignment="1">
      <alignment horizontal="center" vertical="center" wrapText="1"/>
    </xf>
    <xf numFmtId="10" fontId="70" fillId="11" borderId="16" xfId="0" applyNumberFormat="1" applyFont="1" applyFill="1" applyBorder="1" applyAlignment="1">
      <alignment horizontal="center" vertical="center" wrapText="1"/>
    </xf>
    <xf numFmtId="169" fontId="63" fillId="11" borderId="69" xfId="0" applyNumberFormat="1" applyFont="1" applyFill="1" applyBorder="1" applyAlignment="1">
      <alignment horizontal="center" vertical="center" wrapText="1"/>
    </xf>
    <xf numFmtId="10" fontId="70" fillId="11" borderId="60" xfId="0" applyNumberFormat="1" applyFont="1" applyFill="1" applyBorder="1" applyAlignment="1">
      <alignment horizontal="center" vertical="center" wrapText="1"/>
    </xf>
    <xf numFmtId="10" fontId="70" fillId="11" borderId="18" xfId="0" applyNumberFormat="1" applyFont="1" applyFill="1" applyBorder="1" applyAlignment="1">
      <alignment horizontal="center" vertical="center" wrapText="1"/>
    </xf>
    <xf numFmtId="10" fontId="70" fillId="11" borderId="19" xfId="0" applyNumberFormat="1" applyFont="1" applyFill="1" applyBorder="1" applyAlignment="1">
      <alignment horizontal="center" vertical="center" wrapText="1"/>
    </xf>
    <xf numFmtId="169" fontId="66" fillId="15" borderId="83" xfId="0" applyNumberFormat="1" applyFont="1" applyFill="1" applyBorder="1" applyAlignment="1">
      <alignment horizontal="center" vertical="center" wrapText="1"/>
    </xf>
    <xf numFmtId="10" fontId="71" fillId="15" borderId="81" xfId="0" applyNumberFormat="1" applyFont="1" applyFill="1" applyBorder="1" applyAlignment="1">
      <alignment horizontal="center" vertical="center" wrapText="1"/>
    </xf>
    <xf numFmtId="10" fontId="71" fillId="15" borderId="40" xfId="0" applyNumberFormat="1" applyFont="1" applyFill="1" applyBorder="1" applyAlignment="1">
      <alignment horizontal="center" vertical="center" wrapText="1"/>
    </xf>
    <xf numFmtId="10" fontId="71" fillId="15" borderId="41" xfId="0" applyNumberFormat="1" applyFont="1" applyFill="1" applyBorder="1" applyAlignment="1">
      <alignment horizontal="center" vertical="center" wrapText="1"/>
    </xf>
    <xf numFmtId="10" fontId="38" fillId="5" borderId="42" xfId="0" applyNumberFormat="1" applyFont="1" applyFill="1" applyBorder="1" applyAlignment="1">
      <alignment horizontal="left" vertical="center"/>
    </xf>
    <xf numFmtId="0" fontId="0" fillId="5" borderId="61" xfId="0" applyFill="1" applyBorder="1" applyAlignment="1">
      <alignment horizontal="left" vertical="top"/>
    </xf>
    <xf numFmtId="10" fontId="38" fillId="5" borderId="62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left" vertical="top"/>
    </xf>
    <xf numFmtId="190" fontId="55" fillId="0" borderId="0" xfId="0" applyNumberFormat="1" applyFont="1" applyAlignment="1">
      <alignment horizontal="center" vertical="center"/>
    </xf>
    <xf numFmtId="190" fontId="72" fillId="0" borderId="0" xfId="0" applyNumberFormat="1" applyFont="1" applyAlignment="1">
      <alignment horizontal="center" vertical="center" wrapText="1"/>
    </xf>
    <xf numFmtId="191" fontId="47" fillId="6" borderId="10" xfId="13" applyNumberFormat="1" applyFont="1" applyFill="1" applyBorder="1" applyAlignment="1">
      <alignment horizontal="center" vertical="center" wrapText="1"/>
    </xf>
    <xf numFmtId="190" fontId="51" fillId="6" borderId="10" xfId="13" applyNumberFormat="1" applyFont="1" applyFill="1" applyBorder="1" applyAlignment="1">
      <alignment horizontal="center" vertical="center" wrapText="1"/>
    </xf>
    <xf numFmtId="190" fontId="47" fillId="6" borderId="10" xfId="13" applyNumberFormat="1" applyFont="1" applyFill="1" applyBorder="1" applyAlignment="1">
      <alignment horizontal="center" vertical="center" wrapText="1"/>
    </xf>
    <xf numFmtId="191" fontId="46" fillId="0" borderId="0" xfId="13" applyNumberFormat="1"/>
    <xf numFmtId="1" fontId="51" fillId="6" borderId="10" xfId="13" applyNumberFormat="1" applyFont="1" applyFill="1" applyBorder="1" applyAlignment="1">
      <alignment horizontal="center" vertical="center" wrapText="1"/>
    </xf>
    <xf numFmtId="175" fontId="22" fillId="7" borderId="1" xfId="0" applyNumberFormat="1" applyFont="1" applyFill="1" applyBorder="1" applyAlignment="1">
      <alignment horizontal="center" vertical="center" shrinkToFit="1"/>
    </xf>
    <xf numFmtId="176" fontId="28" fillId="7" borderId="10" xfId="0" applyNumberFormat="1" applyFont="1" applyFill="1" applyBorder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horizontal="center" vertical="center"/>
    </xf>
    <xf numFmtId="175" fontId="44" fillId="6" borderId="32" xfId="0" applyNumberFormat="1" applyFont="1" applyFill="1" applyBorder="1" applyAlignment="1">
      <alignment horizontal="center" vertical="center" shrinkToFit="1"/>
    </xf>
    <xf numFmtId="175" fontId="55" fillId="6" borderId="34" xfId="0" applyNumberFormat="1" applyFont="1" applyFill="1" applyBorder="1" applyAlignment="1">
      <alignment horizontal="center" vertical="center" wrapText="1"/>
    </xf>
    <xf numFmtId="175" fontId="44" fillId="6" borderId="34" xfId="0" applyNumberFormat="1" applyFont="1" applyFill="1" applyBorder="1" applyAlignment="1">
      <alignment horizontal="center" vertical="center" shrinkToFit="1"/>
    </xf>
    <xf numFmtId="167" fontId="44" fillId="6" borderId="34" xfId="0" applyNumberFormat="1" applyFont="1" applyFill="1" applyBorder="1" applyAlignment="1">
      <alignment horizontal="center" vertical="center" shrinkToFit="1"/>
    </xf>
    <xf numFmtId="167" fontId="37" fillId="0" borderId="34" xfId="0" applyNumberFormat="1" applyFont="1" applyBorder="1" applyAlignment="1">
      <alignment horizontal="center" vertical="center" shrinkToFit="1"/>
    </xf>
    <xf numFmtId="175" fontId="55" fillId="10" borderId="34" xfId="0" applyNumberFormat="1" applyFont="1" applyFill="1" applyBorder="1" applyAlignment="1">
      <alignment horizontal="center" vertical="center" wrapText="1"/>
    </xf>
    <xf numFmtId="175" fontId="44" fillId="6" borderId="63" xfId="0" applyNumberFormat="1" applyFont="1" applyFill="1" applyBorder="1" applyAlignment="1">
      <alignment horizontal="center" vertical="center" shrinkToFit="1"/>
    </xf>
    <xf numFmtId="167" fontId="44" fillId="6" borderId="19" xfId="0" applyNumberFormat="1" applyFont="1" applyFill="1" applyBorder="1" applyAlignment="1">
      <alignment horizontal="center" vertical="center"/>
    </xf>
    <xf numFmtId="167" fontId="44" fillId="6" borderId="41" xfId="0" applyNumberFormat="1" applyFont="1" applyFill="1" applyBorder="1" applyAlignment="1">
      <alignment horizontal="center" vertical="center" shrinkToFit="1"/>
    </xf>
    <xf numFmtId="175" fontId="55" fillId="6" borderId="32" xfId="0" applyNumberFormat="1" applyFont="1" applyFill="1" applyBorder="1" applyAlignment="1">
      <alignment horizontal="center" vertical="center" wrapText="1"/>
    </xf>
    <xf numFmtId="165" fontId="55" fillId="10" borderId="34" xfId="0" applyNumberFormat="1" applyFont="1" applyFill="1" applyBorder="1" applyAlignment="1">
      <alignment horizontal="center" vertical="center" wrapText="1"/>
    </xf>
    <xf numFmtId="167" fontId="55" fillId="10" borderId="85" xfId="0" applyNumberFormat="1" applyFont="1" applyFill="1" applyBorder="1" applyAlignment="1">
      <alignment horizontal="center" vertical="center" wrapText="1"/>
    </xf>
    <xf numFmtId="0" fontId="73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top" wrapText="1"/>
    </xf>
    <xf numFmtId="0" fontId="27" fillId="0" borderId="0" xfId="0" applyFont="1" applyBorder="1" applyAlignment="1">
      <alignment horizontal="left" vertical="top" wrapText="1"/>
    </xf>
    <xf numFmtId="0" fontId="27" fillId="0" borderId="0" xfId="0" applyFont="1" applyBorder="1" applyAlignment="1">
      <alignment horizontal="center" vertical="top" wrapText="1"/>
    </xf>
    <xf numFmtId="167" fontId="27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0" fontId="55" fillId="2" borderId="0" xfId="0" applyFont="1" applyFill="1" applyAlignment="1">
      <alignment horizontal="right" vertical="top" wrapText="1" indent="3"/>
    </xf>
    <xf numFmtId="0" fontId="55" fillId="0" borderId="5" xfId="0" applyFont="1" applyBorder="1" applyAlignment="1">
      <alignment horizontal="left" vertical="center" wrapText="1"/>
    </xf>
    <xf numFmtId="0" fontId="55" fillId="0" borderId="73" xfId="0" applyFont="1" applyBorder="1" applyAlignment="1">
      <alignment horizontal="left" vertical="center" wrapText="1"/>
    </xf>
    <xf numFmtId="0" fontId="54" fillId="0" borderId="12" xfId="0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0" fontId="54" fillId="0" borderId="19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top" wrapText="1" indent="5"/>
    </xf>
    <xf numFmtId="0" fontId="3" fillId="2" borderId="0" xfId="0" applyFont="1" applyFill="1" applyAlignment="1">
      <alignment horizontal="left" vertical="top" wrapText="1" indent="5"/>
    </xf>
    <xf numFmtId="0" fontId="17" fillId="2" borderId="0" xfId="0" applyFont="1" applyFill="1" applyAlignment="1">
      <alignment horizontal="left" vertical="top" wrapText="1" indent="5"/>
    </xf>
    <xf numFmtId="0" fontId="16" fillId="2" borderId="0" xfId="0" applyFont="1" applyFill="1" applyAlignment="1">
      <alignment horizontal="left" vertical="top" wrapText="1" indent="5"/>
    </xf>
    <xf numFmtId="0" fontId="12" fillId="0" borderId="0" xfId="0" applyFont="1" applyAlignment="1">
      <alignment horizontal="left" vertical="top" wrapText="1"/>
    </xf>
    <xf numFmtId="0" fontId="22" fillId="2" borderId="0" xfId="0" applyFont="1" applyFill="1" applyAlignment="1">
      <alignment horizontal="center" vertical="top" wrapText="1"/>
    </xf>
    <xf numFmtId="0" fontId="74" fillId="2" borderId="0" xfId="0" applyFont="1" applyFill="1" applyAlignment="1">
      <alignment horizontal="center" vertical="top" wrapText="1"/>
    </xf>
  </cellXfs>
  <cellStyles count="15">
    <cellStyle name="Millares" xfId="14" builtinId="3"/>
    <cellStyle name="Millares [0] 2" xfId="4" xr:uid="{CFBC9132-6A07-410B-80FE-0F7342635275}"/>
    <cellStyle name="Millares 2" xfId="5" xr:uid="{984F7EA3-05DE-4B6D-AD04-9A30DCC059E5}"/>
    <cellStyle name="Millares 2 2" xfId="9" xr:uid="{53C0F4C4-27A6-4955-AC52-99FC516EB386}"/>
    <cellStyle name="Millares 3 2" xfId="12" xr:uid="{2777E740-95D0-4DC6-BAB0-28CD88E9D00C}"/>
    <cellStyle name="Millares 4" xfId="11" xr:uid="{4A507299-3792-4EFC-8FAE-1D90E87A19FE}"/>
    <cellStyle name="Millares 5" xfId="7" xr:uid="{043DE192-AE00-4092-BF3A-2C33B1FB48DE}"/>
    <cellStyle name="Normal" xfId="0" builtinId="0"/>
    <cellStyle name="Normal 2" xfId="1" xr:uid="{D060C451-4844-4052-A0B3-E065411FF8EC}"/>
    <cellStyle name="Normal 2 2" xfId="10" xr:uid="{7A198D73-83E2-4828-AF8E-6A11F60029A6}"/>
    <cellStyle name="Normal 3" xfId="2" xr:uid="{8236DEC7-01BD-487E-8D6E-791CBB7ACC42}"/>
    <cellStyle name="Normal 4" xfId="13" xr:uid="{0CBAFDA1-946C-4B4E-B412-ECE484E7F236}"/>
    <cellStyle name="Normal 4 2" xfId="8" xr:uid="{93A73463-FFC4-48C7-BDF6-C7D2DCEEB46C}"/>
    <cellStyle name="Normal 7" xfId="6" xr:uid="{27972328-5A61-4033-9725-E1FC5283D302}"/>
    <cellStyle name="Porcentaje 2" xfId="3" xr:uid="{FCBD8F44-EADC-4133-987A-DEC80666813E}"/>
  </cellStyles>
  <dxfs count="3"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colors>
    <mruColors>
      <color rgb="FFEC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28e27be2757b48d7/Desktop/subsidios/07%20-%20costos%20ST/Costos%202024/res.34-2024/Costos%20Res.34-Octubre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28e27be2757b48d7/Desktop/subsidios/07%20-%20costos%20ST/Costos%202025/An&#225;lisis%20Res.8/Costos%20en%20Excel/Costos%20Res.8-Juni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COSTO X KM"/>
      <sheetName val="2- EMP. REP"/>
      <sheetName val="3- REND Y CONS"/>
      <sheetName val="4- PERSONAL"/>
      <sheetName val="5-PRECIOS SIN IVA"/>
      <sheetName val="5.A SALDO A FAVOR IVA"/>
      <sheetName val="6- IMPUESTOS"/>
      <sheetName val="7-CALCULO TARIFARIO"/>
      <sheetName val="8- COSTO COMBUST"/>
      <sheetName val="9- COSTO POR VEHICULO"/>
      <sheetName val="10-RESUMEN DE COSTOS"/>
      <sheetName val="11-BALANCE DE COMPENSACION"/>
    </sheetNames>
    <sheetDataSet>
      <sheetData sheetId="0">
        <row r="4">
          <cell r="B4">
            <v>470.15407676323014</v>
          </cell>
          <cell r="C4">
            <v>464.9763165527043</v>
          </cell>
          <cell r="D4">
            <v>437.08701501986678</v>
          </cell>
          <cell r="E4">
            <v>343.1542015175487</v>
          </cell>
          <cell r="F4">
            <v>302.48605303575061</v>
          </cell>
          <cell r="G4">
            <v>383.23456922430853</v>
          </cell>
          <cell r="H4">
            <v>391.47478609438195</v>
          </cell>
          <cell r="I4">
            <v>372.6406640443592</v>
          </cell>
          <cell r="J4">
            <v>372.64068210921641</v>
          </cell>
        </row>
        <row r="5">
          <cell r="B5">
            <v>17.465934196666666</v>
          </cell>
          <cell r="C5">
            <v>17.465934196666666</v>
          </cell>
          <cell r="D5">
            <v>17.465934196666666</v>
          </cell>
          <cell r="E5">
            <v>17.465934196666666</v>
          </cell>
          <cell r="F5">
            <v>17.465934196666666</v>
          </cell>
          <cell r="G5">
            <v>17.465934196666666</v>
          </cell>
          <cell r="H5">
            <v>17.465934196666666</v>
          </cell>
          <cell r="I5">
            <v>17.465934196666666</v>
          </cell>
          <cell r="J5">
            <v>17.465934196666666</v>
          </cell>
        </row>
        <row r="6">
          <cell r="B6">
            <v>63.441673225000002</v>
          </cell>
          <cell r="C6">
            <v>63.441673225000002</v>
          </cell>
          <cell r="D6">
            <v>63.441673225000002</v>
          </cell>
          <cell r="E6">
            <v>63.441673225000002</v>
          </cell>
          <cell r="F6">
            <v>63.441673225000002</v>
          </cell>
          <cell r="G6">
            <v>63.441673225000002</v>
          </cell>
          <cell r="H6">
            <v>63.441673225000002</v>
          </cell>
          <cell r="I6">
            <v>63.441673225000002</v>
          </cell>
          <cell r="J6">
            <v>63.441673225000002</v>
          </cell>
        </row>
        <row r="7">
          <cell r="B7">
            <v>43.950541749999999</v>
          </cell>
          <cell r="C7">
            <v>43.950541749999999</v>
          </cell>
          <cell r="D7">
            <v>43.950541749999999</v>
          </cell>
          <cell r="E7">
            <v>43.950541749999999</v>
          </cell>
          <cell r="F7">
            <v>43.950541749999999</v>
          </cell>
          <cell r="G7">
            <v>43.950541749999999</v>
          </cell>
          <cell r="H7">
            <v>43.950541749999999</v>
          </cell>
          <cell r="I7">
            <v>43.950541749999999</v>
          </cell>
          <cell r="J7">
            <v>43.950541749999999</v>
          </cell>
        </row>
        <row r="8">
          <cell r="B8">
            <v>170.68800725755688</v>
          </cell>
          <cell r="C8">
            <v>133.18433367309902</v>
          </cell>
          <cell r="D8">
            <v>100.1579692765398</v>
          </cell>
          <cell r="E8">
            <v>199.44032316989041</v>
          </cell>
          <cell r="F8">
            <v>81.602000512697316</v>
          </cell>
          <cell r="G8">
            <v>135.54755476166179</v>
          </cell>
          <cell r="H8">
            <v>90.100756722619863</v>
          </cell>
          <cell r="I8">
            <v>123.8909601225254</v>
          </cell>
          <cell r="J8">
            <v>111.96902552165909</v>
          </cell>
        </row>
        <row r="11">
          <cell r="B11">
            <v>158.05251943247913</v>
          </cell>
          <cell r="C11">
            <v>123.3251229783592</v>
          </cell>
          <cell r="D11">
            <v>92.743594818065972</v>
          </cell>
          <cell r="E11">
            <v>92.250763723465198</v>
          </cell>
          <cell r="F11">
            <v>75.561265135053944</v>
          </cell>
          <cell r="G11">
            <v>125.51340236028267</v>
          </cell>
          <cell r="H11">
            <v>83.430885576481984</v>
          </cell>
          <cell r="I11">
            <v>114.71547444158607</v>
          </cell>
          <cell r="J11">
            <v>103.67648997776899</v>
          </cell>
        </row>
        <row r="14">
          <cell r="B14">
            <v>164.46043310696814</v>
          </cell>
          <cell r="C14">
            <v>128.32508593231054</v>
          </cell>
          <cell r="D14">
            <v>96.503692737351827</v>
          </cell>
          <cell r="E14">
            <v>73.734250857704211</v>
          </cell>
          <cell r="F14">
            <v>78.624740907912155</v>
          </cell>
          <cell r="G14">
            <v>130.60208459201189</v>
          </cell>
          <cell r="H14">
            <v>86.81341889186298</v>
          </cell>
          <cell r="I14">
            <v>135.01114309616884</v>
          </cell>
          <cell r="J14">
            <v>122.01912158960472</v>
          </cell>
        </row>
        <row r="19">
          <cell r="B19">
            <v>1.1168064267451301</v>
          </cell>
          <cell r="C19">
            <v>0.9087155142646185</v>
          </cell>
          <cell r="D19">
            <v>0.68337692616480938</v>
          </cell>
          <cell r="E19">
            <v>0.48390187531552892</v>
          </cell>
          <cell r="F19">
            <v>0.55676971769762329</v>
          </cell>
          <cell r="G19">
            <v>3.1063381059653932E-2</v>
          </cell>
          <cell r="H19">
            <v>2.0648355809584379E-2</v>
          </cell>
          <cell r="I19">
            <v>3.3010892697906739E-2</v>
          </cell>
          <cell r="J19">
            <v>2.9834279138116395E-2</v>
          </cell>
        </row>
        <row r="20">
          <cell r="B20">
            <v>1215.5044685972114</v>
          </cell>
          <cell r="C20">
            <v>992.85433139243491</v>
          </cell>
          <cell r="D20">
            <v>737.08320695669852</v>
          </cell>
          <cell r="E20">
            <v>558.58886893742613</v>
          </cell>
          <cell r="F20">
            <v>668.09509332865753</v>
          </cell>
          <cell r="G20">
            <v>998.77244894749902</v>
          </cell>
          <cell r="H20">
            <v>666.6849042005897</v>
          </cell>
          <cell r="I20">
            <v>1069.6538876431841</v>
          </cell>
          <cell r="J20">
            <v>931.93939457385488</v>
          </cell>
        </row>
        <row r="25">
          <cell r="B25">
            <v>62.603712638895296</v>
          </cell>
          <cell r="C25">
            <v>51.135492460068015</v>
          </cell>
          <cell r="D25">
            <v>37.960789179958802</v>
          </cell>
          <cell r="E25">
            <v>28.768612790080105</v>
          </cell>
          <cell r="F25">
            <v>34.414760381800434</v>
          </cell>
          <cell r="G25">
            <v>51.44287874761568</v>
          </cell>
          <cell r="H25">
            <v>34.337966241987786</v>
          </cell>
          <cell r="I25">
            <v>55.094876412163508</v>
          </cell>
          <cell r="J25">
            <v>48.006920328206057</v>
          </cell>
        </row>
        <row r="26">
          <cell r="B26">
            <v>9.9840843079319299</v>
          </cell>
          <cell r="C26">
            <v>7.7903751836618103</v>
          </cell>
          <cell r="D26">
            <v>5.8585581109943927</v>
          </cell>
          <cell r="E26">
            <v>5.1042025395343433</v>
          </cell>
          <cell r="F26">
            <v>4.6191036964593692</v>
          </cell>
          <cell r="G26">
            <v>7.6727066409137601</v>
          </cell>
          <cell r="H26">
            <v>5.1001781306388585</v>
          </cell>
          <cell r="I26">
            <v>7.5994905039232048</v>
          </cell>
          <cell r="J26">
            <v>6.8681972061872365</v>
          </cell>
        </row>
        <row r="31">
          <cell r="B31">
            <v>3.3630736804530392</v>
          </cell>
          <cell r="C31">
            <v>1.7050699986494977</v>
          </cell>
          <cell r="D31">
            <v>1.2822555313319115</v>
          </cell>
          <cell r="E31">
            <v>0.98421902828577457</v>
          </cell>
          <cell r="F31">
            <v>0.86753334962875184</v>
          </cell>
          <cell r="G31">
            <v>1.441043399396486</v>
          </cell>
          <cell r="H31">
            <v>0.95788596838991846</v>
          </cell>
          <cell r="I31">
            <v>1.5313892888591483</v>
          </cell>
          <cell r="J31">
            <v>1.3840248408623774</v>
          </cell>
        </row>
        <row r="32">
          <cell r="B32">
            <v>108.28293919173609</v>
          </cell>
          <cell r="C32">
            <v>75.460208367980528</v>
          </cell>
          <cell r="D32">
            <v>56.747974952312745</v>
          </cell>
          <cell r="E32">
            <v>53.517290833794931</v>
          </cell>
          <cell r="F32">
            <v>44.623853621124397</v>
          </cell>
          <cell r="G32">
            <v>74.123847508426749</v>
          </cell>
          <cell r="H32">
            <v>49.2713775873315</v>
          </cell>
          <cell r="I32">
            <v>69.909625719852912</v>
          </cell>
          <cell r="J32">
            <v>63.182274628386246</v>
          </cell>
        </row>
        <row r="37">
          <cell r="B37">
            <v>0.62880111775329361</v>
          </cell>
          <cell r="C37">
            <v>0.50649490050760926</v>
          </cell>
          <cell r="D37">
            <v>0.38089690645057989</v>
          </cell>
          <cell r="E37">
            <v>0.27740867652463652</v>
          </cell>
          <cell r="F37">
            <v>0.31032927065091193</v>
          </cell>
          <cell r="G37">
            <v>0.51548213945019394</v>
          </cell>
          <cell r="H37">
            <v>0.34264971377111197</v>
          </cell>
          <cell r="I37">
            <v>0.53065288410724931</v>
          </cell>
          <cell r="J37">
            <v>0.4795885532324945</v>
          </cell>
        </row>
        <row r="38">
          <cell r="B38">
            <v>7.0031743488693028</v>
          </cell>
          <cell r="C38">
            <v>5.4644325880686813</v>
          </cell>
          <cell r="D38">
            <v>4.1093907682330686</v>
          </cell>
          <cell r="E38">
            <v>2.9098756820957243</v>
          </cell>
          <cell r="F38">
            <v>3.348056175643475</v>
          </cell>
          <cell r="G38">
            <v>5.5613934090076516</v>
          </cell>
          <cell r="H38">
            <v>3.6967524457734209</v>
          </cell>
          <cell r="I38">
            <v>5.9100637088744081</v>
          </cell>
          <cell r="J38">
            <v>5.3413426903717571</v>
          </cell>
        </row>
        <row r="39">
          <cell r="B39">
            <v>7.9380121706075241E-3</v>
          </cell>
          <cell r="C39">
            <v>6.1938672705695152E-3</v>
          </cell>
          <cell r="D39">
            <v>4.6579439989642736E-3</v>
          </cell>
          <cell r="E39">
            <v>3.2983083711403132E-3</v>
          </cell>
          <cell r="F39">
            <v>3.7949805825449089E-3</v>
          </cell>
          <cell r="G39">
            <v>6.3037711710500063E-3</v>
          </cell>
          <cell r="H39">
            <v>4.1902235249948365E-3</v>
          </cell>
          <cell r="I39">
            <v>6.6989846765253564E-3</v>
          </cell>
          <cell r="J39">
            <v>6.0543463822805132E-3</v>
          </cell>
        </row>
        <row r="40">
          <cell r="E40">
            <v>0.17299999999999999</v>
          </cell>
          <cell r="F40">
            <v>1.4E-2</v>
          </cell>
        </row>
        <row r="41">
          <cell r="B41">
            <v>1.3061757045307758</v>
          </cell>
          <cell r="C41">
            <v>0.87229630839352423</v>
          </cell>
          <cell r="D41">
            <v>0.25063170152462871</v>
          </cell>
          <cell r="E41">
            <v>0.32103118564227723</v>
          </cell>
          <cell r="F41">
            <v>1.9628326463081325</v>
          </cell>
          <cell r="G41">
            <v>1.522132354816961</v>
          </cell>
          <cell r="H41">
            <v>0.92204253633643873</v>
          </cell>
          <cell r="I41">
            <v>1.9224252054420539</v>
          </cell>
          <cell r="J41">
            <v>3.0058755082964659</v>
          </cell>
        </row>
        <row r="42">
          <cell r="G42">
            <v>3.4917743600527609</v>
          </cell>
          <cell r="H42">
            <v>2.3210415908910225</v>
          </cell>
          <cell r="I42">
            <v>3.7106903625090393</v>
          </cell>
          <cell r="J42">
            <v>3.3536133991684807</v>
          </cell>
        </row>
        <row r="44">
          <cell r="B44">
            <v>77.258176074995802</v>
          </cell>
          <cell r="C44">
            <v>65.300184089364109</v>
          </cell>
          <cell r="D44">
            <v>52.444705979417293</v>
          </cell>
          <cell r="E44">
            <v>45.914517473113783</v>
          </cell>
          <cell r="F44">
            <v>43.977783585514452</v>
          </cell>
          <cell r="G44">
            <v>63.226912415546636</v>
          </cell>
          <cell r="H44">
            <v>47.639308251094569</v>
          </cell>
          <cell r="I44">
            <v>64.546985643791629</v>
          </cell>
          <cell r="J44">
            <v>58.724554290433069</v>
          </cell>
        </row>
        <row r="46">
          <cell r="B46">
            <v>30.903270429998322</v>
          </cell>
          <cell r="C46">
            <v>26.120073635745644</v>
          </cell>
          <cell r="D46">
            <v>20.977882391766919</v>
          </cell>
          <cell r="E46">
            <v>18.365806989245513</v>
          </cell>
          <cell r="F46">
            <v>17.591113434205784</v>
          </cell>
          <cell r="G46">
            <v>25.29076496621866</v>
          </cell>
          <cell r="H46">
            <v>19.05572330043783</v>
          </cell>
          <cell r="I46">
            <v>25.818794257516654</v>
          </cell>
          <cell r="J46">
            <v>23.489821716173228</v>
          </cell>
        </row>
        <row r="48">
          <cell r="B48">
            <v>-3.9602121032855804</v>
          </cell>
          <cell r="C48">
            <v>-2.3932843455779071</v>
          </cell>
          <cell r="D48">
            <v>-3.7270073761625202</v>
          </cell>
          <cell r="E48">
            <v>-0.45095638283321193</v>
          </cell>
          <cell r="F48">
            <v>9.0603851331969274</v>
          </cell>
          <cell r="G48">
            <v>4.5624729176647651</v>
          </cell>
          <cell r="H48">
            <v>1.5790895318919578</v>
          </cell>
          <cell r="I48">
            <v>5.860830693439242</v>
          </cell>
          <cell r="J48">
            <v>4.0973770712657576</v>
          </cell>
        </row>
        <row r="49">
          <cell r="B49">
            <v>133.06053072983519</v>
          </cell>
          <cell r="C49">
            <v>116.05777227714981</v>
          </cell>
          <cell r="D49">
            <v>96.580401806596754</v>
          </cell>
          <cell r="E49">
            <v>87.008395561663292</v>
          </cell>
          <cell r="F49">
            <v>79.311814461412666</v>
          </cell>
          <cell r="G49">
            <v>110.21510091745481</v>
          </cell>
          <cell r="H49">
            <v>88.108255801759441</v>
          </cell>
          <cell r="I49">
            <v>111.96144796740093</v>
          </cell>
          <cell r="J49">
            <v>103.68723505855742</v>
          </cell>
        </row>
        <row r="50">
          <cell r="B50">
            <v>8.8553601389527046</v>
          </cell>
          <cell r="C50">
            <v>8.5681646406681207</v>
          </cell>
          <cell r="D50">
            <v>8.0619242829751023</v>
          </cell>
          <cell r="E50">
            <v>6.9712525237609659</v>
          </cell>
          <cell r="F50">
            <v>2.2870168105099267</v>
          </cell>
          <cell r="G50">
            <v>6.480807503314594</v>
          </cell>
          <cell r="H50">
            <v>6.1313418842775773</v>
          </cell>
          <cell r="I50">
            <v>5.7517577990559952</v>
          </cell>
          <cell r="J50">
            <v>6.0358319774622897</v>
          </cell>
        </row>
        <row r="51">
          <cell r="B51">
            <v>2744.1314850286944</v>
          </cell>
          <cell r="C51">
            <v>2325.0255291867898</v>
          </cell>
          <cell r="D51">
            <v>1870.0500670857527</v>
          </cell>
          <cell r="E51">
            <v>1642.378414462296</v>
          </cell>
          <cell r="F51">
            <v>1574.1764493564738</v>
          </cell>
          <cell r="G51">
            <v>2254.1128934895414</v>
          </cell>
          <cell r="H51">
            <v>1702.8513522215192</v>
          </cell>
          <cell r="I51">
            <v>2300.959018843801</v>
          </cell>
          <cell r="J51">
            <v>2094.7954088378942</v>
          </cell>
        </row>
        <row r="52">
          <cell r="B52">
            <v>3.2607756281223024</v>
          </cell>
          <cell r="C52">
            <v>2.5900480985313874</v>
          </cell>
          <cell r="D52">
            <v>1.6310722350989317</v>
          </cell>
          <cell r="E52">
            <v>0.83983341862164462</v>
          </cell>
          <cell r="F52">
            <v>1.0068803366117338</v>
          </cell>
          <cell r="G52">
            <v>3.0642045620526468</v>
          </cell>
          <cell r="H52">
            <v>1.9071306957259682</v>
          </cell>
          <cell r="I52">
            <v>3.415552320242758</v>
          </cell>
          <cell r="J52">
            <v>2.7200901631021241</v>
          </cell>
        </row>
        <row r="53">
          <cell r="B53">
            <v>841.5578984834616</v>
          </cell>
          <cell r="C53">
            <v>897.67658388472739</v>
          </cell>
          <cell r="D53">
            <v>1146.5157868819501</v>
          </cell>
          <cell r="E53">
            <v>1955.6002155258457</v>
          </cell>
          <cell r="F53">
            <v>1563.4195962687636</v>
          </cell>
          <cell r="G53">
            <v>735.6274190713815</v>
          </cell>
          <cell r="H53">
            <v>892.88655257751589</v>
          </cell>
          <cell r="I53">
            <v>673.67113810754392</v>
          </cell>
          <cell r="J53">
            <v>770.11984281024229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>
            <v>2744.1314850286944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COSTO X KM"/>
      <sheetName val="2- EMP. REP"/>
      <sheetName val="3- REND Y CONS"/>
      <sheetName val="4- PERSONAL"/>
      <sheetName val="5-PRECIOS SIN IVA"/>
      <sheetName val="5.A SALDO A FAVOR IVA"/>
      <sheetName val="6- IMPUESTOS"/>
      <sheetName val="7-CALCULO TARIFARIO"/>
      <sheetName val="8- COSTO COMBUST"/>
      <sheetName val="9- COSTO POR VEHICULO"/>
      <sheetName val="10-RESUMEN DE COSTOS"/>
      <sheetName val="11-BALANCE DE COMPENSACION"/>
      <sheetName val="Hoja1"/>
    </sheetNames>
    <sheetDataSet>
      <sheetData sheetId="0">
        <row r="4">
          <cell r="B4">
            <v>522.72707432793857</v>
          </cell>
          <cell r="C4">
            <v>516.97033291020375</v>
          </cell>
          <cell r="D4">
            <v>485.96242780880527</v>
          </cell>
          <cell r="E4">
            <v>381.52597343730349</v>
          </cell>
          <cell r="F4">
            <v>336.31028069977094</v>
          </cell>
          <cell r="G4">
            <v>426.08815929258753</v>
          </cell>
          <cell r="H4">
            <v>435.24980367515963</v>
          </cell>
          <cell r="I4">
            <v>414.30963532753577</v>
          </cell>
          <cell r="J4">
            <v>414.30965541241949</v>
          </cell>
        </row>
        <row r="5">
          <cell r="B5">
            <v>18.152768495833335</v>
          </cell>
          <cell r="C5">
            <v>18.152768495833335</v>
          </cell>
          <cell r="D5">
            <v>18.152768495833335</v>
          </cell>
          <cell r="E5">
            <v>18.152768495833335</v>
          </cell>
          <cell r="F5">
            <v>18.152768495833335</v>
          </cell>
          <cell r="G5">
            <v>18.152768495833335</v>
          </cell>
          <cell r="H5">
            <v>18.152768495833335</v>
          </cell>
          <cell r="I5">
            <v>18.152768495833335</v>
          </cell>
          <cell r="J5">
            <v>18.152768495833335</v>
          </cell>
        </row>
        <row r="6">
          <cell r="B6">
            <v>65.936482574999999</v>
          </cell>
          <cell r="C6">
            <v>65.936482574999999</v>
          </cell>
          <cell r="D6">
            <v>65.936482574999999</v>
          </cell>
          <cell r="E6">
            <v>65.936482574999999</v>
          </cell>
          <cell r="F6">
            <v>65.936482574999999</v>
          </cell>
          <cell r="G6">
            <v>65.936482574999999</v>
          </cell>
          <cell r="H6">
            <v>65.936482574999999</v>
          </cell>
          <cell r="I6">
            <v>65.936482574999999</v>
          </cell>
          <cell r="J6">
            <v>65.936482574999999</v>
          </cell>
        </row>
        <row r="7">
          <cell r="B7">
            <v>45.678875749999996</v>
          </cell>
          <cell r="C7">
            <v>45.678875749999996</v>
          </cell>
          <cell r="D7">
            <v>45.678875749999996</v>
          </cell>
          <cell r="E7">
            <v>45.678875749999996</v>
          </cell>
          <cell r="F7">
            <v>45.678875749999996</v>
          </cell>
          <cell r="G7">
            <v>45.678875749999996</v>
          </cell>
          <cell r="H7">
            <v>45.678875749999996</v>
          </cell>
          <cell r="I7">
            <v>45.678875749999996</v>
          </cell>
          <cell r="J7">
            <v>45.678875749999996</v>
          </cell>
        </row>
        <row r="8">
          <cell r="B8">
            <v>192.79049771575654</v>
          </cell>
          <cell r="C8">
            <v>170.75964143499579</v>
          </cell>
          <cell r="D8">
            <v>128.06663607431969</v>
          </cell>
          <cell r="E8">
            <v>252.5484272219033</v>
          </cell>
          <cell r="F8">
            <v>102.63682336909112</v>
          </cell>
          <cell r="G8">
            <v>151.77258585242635</v>
          </cell>
          <cell r="H8">
            <v>104.58017066187378</v>
          </cell>
          <cell r="I8">
            <v>138.8859535416716</v>
          </cell>
          <cell r="J8">
            <v>124.92752695078266</v>
          </cell>
        </row>
        <row r="11">
          <cell r="B11">
            <v>232.078547305217</v>
          </cell>
          <cell r="C11">
            <v>158.12161982980859</v>
          </cell>
          <cell r="D11">
            <v>118.58834893334425</v>
          </cell>
          <cell r="E11">
            <v>116.81750146901331</v>
          </cell>
          <cell r="F11">
            <v>95.040611639400055</v>
          </cell>
          <cell r="G11">
            <v>140.5398074104063</v>
          </cell>
          <cell r="H11">
            <v>96.840130654808874</v>
          </cell>
          <cell r="I11">
            <v>128.60255690777439</v>
          </cell>
          <cell r="J11">
            <v>115.6776404261434</v>
          </cell>
        </row>
        <row r="14">
          <cell r="B14">
            <v>174.87279629453658</v>
          </cell>
          <cell r="C14">
            <v>154.88945952106229</v>
          </cell>
          <cell r="D14">
            <v>116.16428728437643</v>
          </cell>
          <cell r="E14">
            <v>88.351257058257787</v>
          </cell>
          <cell r="F14">
            <v>93.097888734142231</v>
          </cell>
          <cell r="G14">
            <v>137.66703651544788</v>
          </cell>
          <cell r="H14">
            <v>94.860623823717901</v>
          </cell>
          <cell r="I14">
            <v>142.18271022588974</v>
          </cell>
          <cell r="J14">
            <v>127.89295037205225</v>
          </cell>
        </row>
        <row r="19">
          <cell r="B19">
            <v>1.1254005485884122</v>
          </cell>
          <cell r="C19">
            <v>1.039457258636497</v>
          </cell>
          <cell r="D19">
            <v>0.77957410391544923</v>
          </cell>
          <cell r="E19">
            <v>0.5471280628438332</v>
          </cell>
          <cell r="F19">
            <v>0.62477638250960432</v>
          </cell>
          <cell r="G19">
            <v>3.1031085794960209E-2</v>
          </cell>
          <cell r="H19">
            <v>2.1382229406143472E-2</v>
          </cell>
          <cell r="I19">
            <v>3.3000736526026364E-2</v>
          </cell>
          <cell r="J19">
            <v>2.9684070250587672E-2</v>
          </cell>
        </row>
        <row r="20">
          <cell r="B20">
            <v>1374.7408244189332</v>
          </cell>
          <cell r="C20">
            <v>1252.3200306110198</v>
          </cell>
          <cell r="D20">
            <v>932.96843714944589</v>
          </cell>
          <cell r="E20">
            <v>688.82650930754426</v>
          </cell>
          <cell r="F20">
            <v>764.55385287153854</v>
          </cell>
          <cell r="G20">
            <v>1118.6946113772376</v>
          </cell>
          <cell r="H20">
            <v>772.23786086122095</v>
          </cell>
          <cell r="I20">
            <v>1172.982878594119</v>
          </cell>
          <cell r="J20">
            <v>1040.989441717827</v>
          </cell>
        </row>
        <row r="25">
          <cell r="B25">
            <v>70.81006685979834</v>
          </cell>
          <cell r="C25">
            <v>64.503237545105804</v>
          </cell>
          <cell r="D25">
            <v>48.052565148626456</v>
          </cell>
          <cell r="E25">
            <v>35.47863684295671</v>
          </cell>
          <cell r="F25">
            <v>39.386252244299186</v>
          </cell>
          <cell r="G25">
            <v>57.623114815465264</v>
          </cell>
          <cell r="H25">
            <v>39.777009293994304</v>
          </cell>
          <cell r="I25">
            <v>60.420774414932488</v>
          </cell>
          <cell r="J25">
            <v>53.62689289939005</v>
          </cell>
        </row>
        <row r="26">
          <cell r="B26">
            <v>10.842245794120357</v>
          </cell>
          <cell r="C26">
            <v>9.6032637816193009</v>
          </cell>
          <cell r="D26">
            <v>7.2022737779905235</v>
          </cell>
          <cell r="E26">
            <v>6.2480585361650629</v>
          </cell>
          <cell r="F26">
            <v>5.592467334703775</v>
          </cell>
          <cell r="G26">
            <v>8.2697729803164215</v>
          </cell>
          <cell r="H26">
            <v>5.6983562924688602</v>
          </cell>
          <cell r="I26">
            <v>8.1753796353716091</v>
          </cell>
          <cell r="J26">
            <v>7.353731127491768</v>
          </cell>
        </row>
        <row r="31">
          <cell r="B31">
            <v>3.5222221899978474</v>
          </cell>
          <cell r="C31">
            <v>2.0270854342573879</v>
          </cell>
          <cell r="D31">
            <v>1.5202773349662935</v>
          </cell>
          <cell r="E31">
            <v>1.1565771004232219</v>
          </cell>
          <cell r="F31">
            <v>1.01178055954337</v>
          </cell>
          <cell r="G31">
            <v>1.4961545651592778</v>
          </cell>
          <cell r="H31">
            <v>1.0309378263676554</v>
          </cell>
          <cell r="I31">
            <v>1.5911206888884235</v>
          </cell>
          <cell r="J31">
            <v>1.4312086116283578</v>
          </cell>
        </row>
        <row r="32">
          <cell r="B32">
            <v>119.57355453208824</v>
          </cell>
          <cell r="C32">
            <v>95.173198358450733</v>
          </cell>
          <cell r="D32">
            <v>71.378173763855301</v>
          </cell>
          <cell r="E32">
            <v>66.886308678895006</v>
          </cell>
          <cell r="F32">
            <v>55.326430577249816</v>
          </cell>
          <cell r="G32">
            <v>81.813087730681929</v>
          </cell>
          <cell r="H32">
            <v>56.373992899935722</v>
          </cell>
          <cell r="I32">
            <v>77.104635529684401</v>
          </cell>
          <cell r="J32">
            <v>69.355404110573147</v>
          </cell>
        </row>
        <row r="37">
          <cell r="B37">
            <v>0.63363994763940246</v>
          </cell>
          <cell r="C37">
            <v>0.57936700454130763</v>
          </cell>
          <cell r="D37">
            <v>0.43451475243525661</v>
          </cell>
          <cell r="E37">
            <v>0.31365465134008363</v>
          </cell>
          <cell r="F37">
            <v>0.34823444469237957</v>
          </cell>
          <cell r="G37">
            <v>0.51494619980378908</v>
          </cell>
          <cell r="H37">
            <v>0.35482798922281578</v>
          </cell>
          <cell r="I37">
            <v>0.53048965494275713</v>
          </cell>
          <cell r="J37">
            <v>0.47717396162087822</v>
          </cell>
        </row>
        <row r="38">
          <cell r="B38">
            <v>7.334580751202993</v>
          </cell>
          <cell r="C38">
            <v>6.4964321063064707</v>
          </cell>
          <cell r="D38">
            <v>4.8722063325284672</v>
          </cell>
          <cell r="E38">
            <v>3.4194578797615822</v>
          </cell>
          <cell r="F38">
            <v>3.9047467482420011</v>
          </cell>
          <cell r="G38">
            <v>5.7740827475571717</v>
          </cell>
          <cell r="H38">
            <v>3.9786800479400037</v>
          </cell>
          <cell r="I38">
            <v>6.1405838226439329</v>
          </cell>
          <cell r="J38">
            <v>5.5234379822774473</v>
          </cell>
        </row>
        <row r="39">
          <cell r="B39">
            <v>7.9990972809309679E-3</v>
          </cell>
          <cell r="C39">
            <v>7.0850119672873609E-3</v>
          </cell>
          <cell r="D39">
            <v>5.3136305603112832E-3</v>
          </cell>
          <cell r="E39">
            <v>3.7292624017770302E-3</v>
          </cell>
          <cell r="F39">
            <v>4.2585186742219259E-3</v>
          </cell>
          <cell r="G39">
            <v>6.297217410590166E-3</v>
          </cell>
          <cell r="H39">
            <v>4.3391503662907E-3</v>
          </cell>
          <cell r="I39">
            <v>6.6969236586540311E-3</v>
          </cell>
          <cell r="J39">
            <v>6.0238641095034231E-3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0.17299999999999999</v>
          </cell>
          <cell r="F40">
            <v>1.4E-2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1.4165932142155031</v>
          </cell>
          <cell r="C41">
            <v>0.99507200284181285</v>
          </cell>
          <cell r="D41">
            <v>0.28513128726149528</v>
          </cell>
          <cell r="E41">
            <v>0.36198509410753565</v>
          </cell>
          <cell r="F41">
            <v>2.1965649511791301</v>
          </cell>
          <cell r="G41">
            <v>1.5163953512941442</v>
          </cell>
          <cell r="H41">
            <v>0.95220453421050355</v>
          </cell>
          <cell r="I41">
            <v>1.9165828378525172</v>
          </cell>
          <cell r="J41">
            <v>2.9825701758132599</v>
          </cell>
        </row>
        <row r="42">
          <cell r="B42">
            <v>10.544378440059567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3.4881441120449193</v>
          </cell>
          <cell r="H42">
            <v>2.4035348971754766</v>
          </cell>
          <cell r="I42">
            <v>3.7095487269446403</v>
          </cell>
          <cell r="J42">
            <v>3.3367287097292468</v>
          </cell>
        </row>
        <row r="44">
          <cell r="B44">
            <v>88.23057365747033</v>
          </cell>
          <cell r="C44">
            <v>79.275878648401573</v>
          </cell>
          <cell r="D44">
            <v>63.279844150616427</v>
          </cell>
          <cell r="E44">
            <v>54.817309219291253</v>
          </cell>
          <cell r="F44">
            <v>50.406714306057822</v>
          </cell>
          <cell r="G44">
            <v>70.053505796117562</v>
          </cell>
          <cell r="H44">
            <v>53.942226236867072</v>
          </cell>
          <cell r="I44">
            <v>70.712185805853707</v>
          </cell>
          <cell r="J44">
            <v>64.876954552977594</v>
          </cell>
        </row>
        <row r="46">
          <cell r="B46">
            <v>35.292229462988132</v>
          </cell>
          <cell r="C46">
            <v>31.710351459360627</v>
          </cell>
          <cell r="D46">
            <v>25.311937660246574</v>
          </cell>
          <cell r="E46">
            <v>21.926923687716503</v>
          </cell>
          <cell r="F46">
            <v>20.162685722423131</v>
          </cell>
          <cell r="G46">
            <v>28.021402318447024</v>
          </cell>
          <cell r="H46">
            <v>21.576890494746831</v>
          </cell>
          <cell r="I46">
            <v>28.28487432234148</v>
          </cell>
          <cell r="J46">
            <v>25.95078182119104</v>
          </cell>
        </row>
        <row r="48">
          <cell r="B48">
            <v>-4.5572400844900072</v>
          </cell>
          <cell r="C48">
            <v>-3.7270814019020015</v>
          </cell>
          <cell r="D48">
            <v>-4.9753308674929952</v>
          </cell>
          <cell r="E48">
            <v>-1.5801139215748385</v>
          </cell>
          <cell r="F48">
            <v>8.2222123878292663</v>
          </cell>
          <cell r="G48">
            <v>0.90527750148045172</v>
          </cell>
          <cell r="H48">
            <v>-1.1755600734573104</v>
          </cell>
          <cell r="I48">
            <v>1.6766962657964921</v>
          </cell>
          <cell r="J48">
            <v>1.2893442171495906E-2</v>
          </cell>
        </row>
        <row r="49">
          <cell r="B49">
            <v>148.74969157943809</v>
          </cell>
          <cell r="C49">
            <v>137.95420084122225</v>
          </cell>
          <cell r="D49">
            <v>113.92437890387683</v>
          </cell>
          <cell r="E49">
            <v>102.17377723168482</v>
          </cell>
          <cell r="F49">
            <v>89.930837912743499</v>
          </cell>
          <cell r="G49">
            <v>121.5246409861395</v>
          </cell>
          <cell r="H49">
            <v>98.80243047567248</v>
          </cell>
          <cell r="I49">
            <v>122.33720497893717</v>
          </cell>
          <cell r="J49">
            <v>114.02582227420406</v>
          </cell>
        </row>
        <row r="50">
          <cell r="B50">
            <v>10.497400706908445</v>
          </cell>
          <cell r="C50">
            <v>11.002468436767998</v>
          </cell>
          <cell r="D50">
            <v>10.111279546340317</v>
          </cell>
          <cell r="E50">
            <v>9.0918291027611531</v>
          </cell>
          <cell r="F50">
            <v>3.7364603937919907</v>
          </cell>
          <cell r="G50">
            <v>9.0244242117044795</v>
          </cell>
          <cell r="H50">
            <v>8.2804071313383218</v>
          </cell>
          <cell r="I50">
            <v>8.4740984970730455</v>
          </cell>
          <cell r="J50">
            <v>8.6605501758652643</v>
          </cell>
        </row>
        <row r="51">
          <cell r="B51">
            <v>3131.0012035805225</v>
          </cell>
          <cell r="C51">
            <v>2819.469227615501</v>
          </cell>
          <cell r="D51">
            <v>2253.7004035968521</v>
          </cell>
          <cell r="E51">
            <v>1958.8560567436293</v>
          </cell>
          <cell r="F51">
            <v>1802.2760066187154</v>
          </cell>
          <cell r="G51">
            <v>2494.5926048883571</v>
          </cell>
          <cell r="H51">
            <v>1925.5583759238693</v>
          </cell>
          <cell r="I51">
            <v>2517.8457342592719</v>
          </cell>
          <cell r="J51">
            <v>2311.2151994793517</v>
          </cell>
        </row>
        <row r="52">
          <cell r="B52">
            <v>3.1585374933835588</v>
          </cell>
          <cell r="C52">
            <v>2.6709049704567525</v>
          </cell>
          <cell r="D52">
            <v>1.71579268018616</v>
          </cell>
          <cell r="E52">
            <v>0.85132586392287335</v>
          </cell>
          <cell r="F52">
            <v>0.97166598836299234</v>
          </cell>
          <cell r="G52">
            <v>2.7333258667437579</v>
          </cell>
          <cell r="H52">
            <v>1.6950342626957009</v>
          </cell>
          <cell r="I52">
            <v>3.0627302674302563</v>
          </cell>
          <cell r="J52">
            <v>2.454503711136705</v>
          </cell>
        </row>
        <row r="53">
          <cell r="B53">
            <v>991.28194936399564</v>
          </cell>
          <cell r="C53">
            <v>1055.6231909416615</v>
          </cell>
          <cell r="D53">
            <v>1313.5039154918938</v>
          </cell>
          <cell r="E53">
            <v>2300.9474277185755</v>
          </cell>
          <cell r="F53">
            <v>1854.8308042098784</v>
          </cell>
          <cell r="G53">
            <v>912.65832414639738</v>
          </cell>
          <cell r="H53">
            <v>1135.9996775885545</v>
          </cell>
          <cell r="I53">
            <v>822.09189657822446</v>
          </cell>
          <cell r="J53">
            <v>941.6222061481443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>
            <v>3131.0012035805225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9D1831-5E94-4A60-B6EB-0B0F7B5F352E}">
  <we:reference id="wa200005271" version="2.5.5.0" store="es-E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3"/>
  <sheetViews>
    <sheetView zoomScale="120" zoomScaleNormal="120" workbookViewId="0">
      <pane ySplit="3" topLeftCell="A4" activePane="bottomLeft" state="frozen"/>
      <selection pane="bottomLeft" activeCell="G8" sqref="G8"/>
    </sheetView>
  </sheetViews>
  <sheetFormatPr baseColWidth="10" defaultColWidth="9" defaultRowHeight="13.2" x14ac:dyDescent="0.25"/>
  <cols>
    <col min="1" max="1" width="45.5546875" style="89" customWidth="1"/>
    <col min="2" max="11" width="10.88671875" style="89" customWidth="1"/>
    <col min="12" max="12" width="33.44140625" style="89" customWidth="1"/>
    <col min="13" max="13" width="8.44140625" style="465" customWidth="1"/>
    <col min="14" max="14" width="8.44140625" style="64" customWidth="1"/>
    <col min="15" max="18" width="8.44140625" style="40" customWidth="1"/>
    <col min="19" max="21" width="8.44140625" customWidth="1"/>
    <col min="22" max="22" width="33.44140625" customWidth="1"/>
    <col min="23" max="31" width="8.44140625" customWidth="1"/>
    <col min="32" max="32" width="33.44140625" customWidth="1"/>
    <col min="33" max="41" width="8.44140625" customWidth="1"/>
  </cols>
  <sheetData>
    <row r="1" spans="1:41" ht="27.45" customHeight="1" x14ac:dyDescent="0.25">
      <c r="A1" s="536" t="s">
        <v>143</v>
      </c>
      <c r="B1" s="533"/>
      <c r="C1" s="692"/>
      <c r="D1" s="594"/>
      <c r="E1" s="594"/>
      <c r="F1" s="594"/>
      <c r="G1" s="594"/>
      <c r="H1" s="594"/>
      <c r="I1" s="594"/>
      <c r="J1" s="594"/>
      <c r="K1" s="594"/>
      <c r="L1" s="594"/>
      <c r="M1" s="447"/>
      <c r="N1" s="447"/>
      <c r="O1" s="447"/>
      <c r="P1" s="447"/>
      <c r="Q1" s="447"/>
      <c r="R1" s="447"/>
      <c r="S1" s="447"/>
      <c r="T1" s="447"/>
      <c r="U1" s="447"/>
      <c r="V1" s="447"/>
    </row>
    <row r="2" spans="1:41" ht="19.2" customHeight="1" thickBot="1" x14ac:dyDescent="0.3">
      <c r="A2" s="83"/>
      <c r="B2" s="693"/>
      <c r="C2" s="693"/>
      <c r="D2" s="466"/>
      <c r="E2" s="466"/>
      <c r="F2" s="466"/>
      <c r="G2" s="466"/>
      <c r="H2" s="466"/>
      <c r="I2" s="466"/>
      <c r="J2" s="466"/>
      <c r="K2" s="594"/>
      <c r="L2" s="639" t="s">
        <v>531</v>
      </c>
      <c r="M2" s="447"/>
      <c r="N2" s="447"/>
      <c r="O2" s="447"/>
      <c r="P2" s="447"/>
      <c r="Q2" s="447"/>
      <c r="R2" s="447"/>
      <c r="S2" s="447"/>
      <c r="T2" s="447"/>
      <c r="U2" s="447"/>
      <c r="V2" s="639" t="s">
        <v>532</v>
      </c>
      <c r="AF2" s="639" t="s">
        <v>533</v>
      </c>
    </row>
    <row r="3" spans="1:41" ht="22.5" customHeight="1" thickBot="1" x14ac:dyDescent="0.3">
      <c r="A3" s="446" t="s">
        <v>191</v>
      </c>
      <c r="B3" s="311" t="s">
        <v>489</v>
      </c>
      <c r="C3" s="312" t="s">
        <v>481</v>
      </c>
      <c r="D3" s="312" t="s">
        <v>482</v>
      </c>
      <c r="E3" s="312" t="s">
        <v>483</v>
      </c>
      <c r="F3" s="312" t="s">
        <v>484</v>
      </c>
      <c r="G3" s="312" t="s">
        <v>485</v>
      </c>
      <c r="H3" s="312" t="s">
        <v>486</v>
      </c>
      <c r="I3" s="312" t="s">
        <v>487</v>
      </c>
      <c r="J3" s="313" t="s">
        <v>488</v>
      </c>
      <c r="K3" s="594"/>
      <c r="L3" s="635" t="str">
        <f>+A3</f>
        <v>RUBROS</v>
      </c>
      <c r="M3" s="636" t="s">
        <v>489</v>
      </c>
      <c r="N3" s="637" t="s">
        <v>523</v>
      </c>
      <c r="O3" s="637" t="s">
        <v>524</v>
      </c>
      <c r="P3" s="637" t="s">
        <v>525</v>
      </c>
      <c r="Q3" s="637" t="s">
        <v>526</v>
      </c>
      <c r="R3" s="637" t="s">
        <v>527</v>
      </c>
      <c r="S3" s="637" t="s">
        <v>528</v>
      </c>
      <c r="T3" s="637" t="s">
        <v>529</v>
      </c>
      <c r="U3" s="638" t="s">
        <v>530</v>
      </c>
      <c r="V3" s="635" t="str">
        <f t="shared" ref="V3:V34" si="0">+A3</f>
        <v>RUBROS</v>
      </c>
      <c r="W3" s="636" t="s">
        <v>489</v>
      </c>
      <c r="X3" s="637" t="s">
        <v>523</v>
      </c>
      <c r="Y3" s="637" t="s">
        <v>524</v>
      </c>
      <c r="Z3" s="637" t="s">
        <v>525</v>
      </c>
      <c r="AA3" s="637" t="s">
        <v>526</v>
      </c>
      <c r="AB3" s="637" t="s">
        <v>527</v>
      </c>
      <c r="AC3" s="637" t="s">
        <v>528</v>
      </c>
      <c r="AD3" s="637" t="s">
        <v>529</v>
      </c>
      <c r="AE3" s="638" t="s">
        <v>530</v>
      </c>
      <c r="AF3" s="635" t="str">
        <f t="shared" ref="AF3:AF34" si="1">+L3</f>
        <v>RUBROS</v>
      </c>
      <c r="AG3" s="636" t="s">
        <v>489</v>
      </c>
      <c r="AH3" s="637" t="s">
        <v>523</v>
      </c>
      <c r="AI3" s="637" t="s">
        <v>524</v>
      </c>
      <c r="AJ3" s="637" t="s">
        <v>525</v>
      </c>
      <c r="AK3" s="637" t="s">
        <v>526</v>
      </c>
      <c r="AL3" s="637" t="s">
        <v>527</v>
      </c>
      <c r="AM3" s="637" t="s">
        <v>528</v>
      </c>
      <c r="AN3" s="637" t="s">
        <v>529</v>
      </c>
      <c r="AO3" s="638" t="s">
        <v>530</v>
      </c>
    </row>
    <row r="4" spans="1:41" ht="12.45" customHeight="1" x14ac:dyDescent="0.25">
      <c r="A4" s="318" t="s">
        <v>144</v>
      </c>
      <c r="B4" s="162">
        <f>+'3- REND Y CONS'!B4*'5-PRECIOS SIN IVA'!B5</f>
        <v>769.86709356447034</v>
      </c>
      <c r="C4" s="162">
        <f>+'3- REND Y CONS'!C4*'5-PRECIOS SIN IVA'!C5</f>
        <v>626.32825710117868</v>
      </c>
      <c r="D4" s="162">
        <f>+'3- REND Y CONS'!D4*'5-PRECIOS SIN IVA'!D5</f>
        <v>588.76105851709463</v>
      </c>
      <c r="E4" s="162">
        <f>+'3- REND Y CONS'!E4*'5-PRECIOS SIN IVA'!E5</f>
        <v>462.23251658683409</v>
      </c>
      <c r="F4" s="162">
        <f>+'3- REND Y CONS'!F4*'5-PRECIOS SIN IVA'!F5</f>
        <v>407.45206938689728</v>
      </c>
      <c r="G4" s="162">
        <f>+'3- REND Y CONS'!G4*'5-PRECIOS SIN IVA'!G5</f>
        <v>516.22121656162903</v>
      </c>
      <c r="H4" s="162">
        <f>+'3- REND Y CONS'!H4*'5-PRECIOS SIN IVA'!H5</f>
        <v>527.32088010714608</v>
      </c>
      <c r="I4" s="162">
        <f>+'3- REND Y CONS'!I4*'5-PRECIOS SIN IVA'!I5</f>
        <v>501.95110874958806</v>
      </c>
      <c r="J4" s="703">
        <f>+'3- REND Y CONS'!J4*'5-PRECIOS SIN IVA'!J5</f>
        <v>501.95112188707139</v>
      </c>
      <c r="K4" s="594"/>
      <c r="L4" s="640" t="str">
        <f t="shared" ref="L4:L53" si="2">+A4</f>
        <v>1. COMBUSTIBLE</v>
      </c>
      <c r="M4" s="645">
        <f>+B4/B$51</f>
        <v>0.19863599948839225</v>
      </c>
      <c r="N4" s="646">
        <f t="shared" ref="N4:N8" si="3">+C4/C$51</f>
        <v>0.18093229016695681</v>
      </c>
      <c r="O4" s="646">
        <f t="shared" ref="O4:O8" si="4">+D4/D$51</f>
        <v>0.2111593118209715</v>
      </c>
      <c r="P4" s="646">
        <f t="shared" ref="P4:P8" si="5">+E4/E$51</f>
        <v>0.19651052882163825</v>
      </c>
      <c r="Q4" s="646">
        <f t="shared" ref="Q4:Q8" si="6">+F4/F$51</f>
        <v>0.17140724475713484</v>
      </c>
      <c r="R4" s="646">
        <f t="shared" ref="R4:R8" si="7">+G4/G$51</f>
        <v>0.16772597388031979</v>
      </c>
      <c r="S4" s="646">
        <f t="shared" ref="S4:S8" si="8">+H4/H$51</f>
        <v>0.21305061645208159</v>
      </c>
      <c r="T4" s="646">
        <f t="shared" ref="T4:T8" si="9">+I4/I$51</f>
        <v>0.16147247491398006</v>
      </c>
      <c r="U4" s="647">
        <f t="shared" ref="U4:U8" si="10">+J4/J$51</f>
        <v>0.17040527381835524</v>
      </c>
      <c r="V4" s="662" t="str">
        <f t="shared" si="0"/>
        <v>1. COMBUSTIBLE</v>
      </c>
      <c r="W4" s="666">
        <f>+B4/'[1]1-COSTO X KM'!B4-1</f>
        <v>0.63747828980790877</v>
      </c>
      <c r="X4" s="667">
        <f>+C4/'[1]1-COSTO X KM'!C4-1</f>
        <v>0.34701109455364132</v>
      </c>
      <c r="Y4" s="667">
        <f>+D4/'[1]1-COSTO X KM'!D4-1</f>
        <v>0.34701109455364132</v>
      </c>
      <c r="Z4" s="667">
        <f>+E4/'[1]1-COSTO X KM'!E4-1</f>
        <v>0.34701109455364132</v>
      </c>
      <c r="AA4" s="667">
        <f>+F4/'[1]1-COSTO X KM'!F4-1</f>
        <v>0.34701109455364154</v>
      </c>
      <c r="AB4" s="667">
        <f>+G4/'[1]1-COSTO X KM'!G4-1</f>
        <v>0.34701109455364132</v>
      </c>
      <c r="AC4" s="667">
        <f>+H4/'[1]1-COSTO X KM'!H4-1</f>
        <v>0.34701109455364132</v>
      </c>
      <c r="AD4" s="667">
        <f>+I4/'[1]1-COSTO X KM'!I4-1</f>
        <v>0.34701109455364154</v>
      </c>
      <c r="AE4" s="668">
        <f>+J4/'[1]1-COSTO X KM'!J4-1</f>
        <v>0.34701106450839858</v>
      </c>
      <c r="AF4" s="672" t="str">
        <f t="shared" si="1"/>
        <v>1. COMBUSTIBLE</v>
      </c>
      <c r="AG4" s="673">
        <f>+B4/'[2]1-COSTO X KM'!B4-1</f>
        <v>0.47278978146344453</v>
      </c>
      <c r="AH4" s="674">
        <f>+C4/'[2]1-COSTO X KM'!C4-1</f>
        <v>0.21153616992944557</v>
      </c>
      <c r="AI4" s="674">
        <f>+D4/'[2]1-COSTO X KM'!D4-1</f>
        <v>0.21153616992944557</v>
      </c>
      <c r="AJ4" s="674">
        <f>+E4/'[2]1-COSTO X KM'!E4-1</f>
        <v>0.21153616992944557</v>
      </c>
      <c r="AK4" s="674">
        <f>+F4/'[2]1-COSTO X KM'!F4-1</f>
        <v>0.21153616992944579</v>
      </c>
      <c r="AL4" s="674">
        <f>+G4/'[2]1-COSTO X KM'!G4-1</f>
        <v>0.21153616992944557</v>
      </c>
      <c r="AM4" s="674">
        <f>+H4/'[2]1-COSTO X KM'!H4-1</f>
        <v>0.21153616992944579</v>
      </c>
      <c r="AN4" s="674">
        <f>+I4/'[2]1-COSTO X KM'!I4-1</f>
        <v>0.21153616992944579</v>
      </c>
      <c r="AO4" s="675">
        <f>+J4/'[2]1-COSTO X KM'!J4-1</f>
        <v>0.21153614290598721</v>
      </c>
    </row>
    <row r="5" spans="1:41" ht="12.45" customHeight="1" x14ac:dyDescent="0.25">
      <c r="A5" s="319" t="s">
        <v>145</v>
      </c>
      <c r="B5" s="163">
        <f>+('3- REND Y CONS'!B5*'5-PRECIOS SIN IVA'!B6+('3- REND Y CONS'!B6+'3- REND Y CONS'!B7)*'5-PRECIOS SIN IVA'!B7)*(1+'2- EMP. REP'!B9)</f>
        <v>21.787509402499996</v>
      </c>
      <c r="C5" s="163">
        <f>+('3- REND Y CONS'!C5*'5-PRECIOS SIN IVA'!C6+('3- REND Y CONS'!C6+'3- REND Y CONS'!C7)*'5-PRECIOS SIN IVA'!C7)*(1+'2- EMP. REP'!C9)</f>
        <v>21.787509402499996</v>
      </c>
      <c r="D5" s="163">
        <f>+('3- REND Y CONS'!D5*'5-PRECIOS SIN IVA'!D6+('3- REND Y CONS'!D6+'3- REND Y CONS'!D7)*'5-PRECIOS SIN IVA'!D7)*(1+'2- EMP. REP'!D9)</f>
        <v>21.787509402499996</v>
      </c>
      <c r="E5" s="163">
        <f>+('3- REND Y CONS'!E5*'5-PRECIOS SIN IVA'!E6+('3- REND Y CONS'!E6+'3- REND Y CONS'!E7)*'5-PRECIOS SIN IVA'!E7)*(1+'2- EMP. REP'!E9)</f>
        <v>21.787509402499996</v>
      </c>
      <c r="F5" s="163">
        <f>+('3- REND Y CONS'!F5*'5-PRECIOS SIN IVA'!F6+('3- REND Y CONS'!F6+'3- REND Y CONS'!F7)*'5-PRECIOS SIN IVA'!F7)*(1+'2- EMP. REP'!F9)</f>
        <v>21.787509402499996</v>
      </c>
      <c r="G5" s="163">
        <f>+('3- REND Y CONS'!G5*'5-PRECIOS SIN IVA'!G6+('3- REND Y CONS'!G6+'3- REND Y CONS'!G7)*'5-PRECIOS SIN IVA'!G7)*(1+'2- EMP. REP'!G9)</f>
        <v>21.787509402499996</v>
      </c>
      <c r="H5" s="163">
        <f>+('3- REND Y CONS'!H5*'5-PRECIOS SIN IVA'!H6+('3- REND Y CONS'!H6+'3- REND Y CONS'!H7)*'5-PRECIOS SIN IVA'!H7)*(1+'2- EMP. REP'!H9)</f>
        <v>21.787509402499996</v>
      </c>
      <c r="I5" s="163">
        <f>+('3- REND Y CONS'!I5*'5-PRECIOS SIN IVA'!I6+('3- REND Y CONS'!I6+'3- REND Y CONS'!I7)*'5-PRECIOS SIN IVA'!I7)*(1+'2- EMP. REP'!I9)</f>
        <v>21.787509402499996</v>
      </c>
      <c r="J5" s="704">
        <f>+('3- REND Y CONS'!J5*'5-PRECIOS SIN IVA'!J6+('3- REND Y CONS'!J6+'3- REND Y CONS'!J7)*'5-PRECIOS SIN IVA'!J7)*(1+'2- EMP. REP'!J9)</f>
        <v>21.787509402499996</v>
      </c>
      <c r="K5" s="594"/>
      <c r="L5" s="641" t="str">
        <f t="shared" si="2"/>
        <v>2. LUBRICANTES</v>
      </c>
      <c r="M5" s="642">
        <f t="shared" ref="M5:M8" si="11">+B5/B$51</f>
        <v>5.6214686180322011E-3</v>
      </c>
      <c r="N5" s="643">
        <f t="shared" si="3"/>
        <v>6.2939264331987781E-3</v>
      </c>
      <c r="O5" s="643">
        <f t="shared" si="4"/>
        <v>7.8140961009079135E-3</v>
      </c>
      <c r="P5" s="643">
        <f t="shared" si="5"/>
        <v>9.2626001866040943E-3</v>
      </c>
      <c r="Q5" s="643">
        <f t="shared" si="6"/>
        <v>9.1655859360884814E-3</v>
      </c>
      <c r="R5" s="643">
        <f t="shared" si="7"/>
        <v>7.0790024038554101E-3</v>
      </c>
      <c r="S5" s="643">
        <f t="shared" si="8"/>
        <v>8.8026901347334745E-3</v>
      </c>
      <c r="T5" s="643">
        <f t="shared" si="9"/>
        <v>7.0088162056204887E-3</v>
      </c>
      <c r="U5" s="644">
        <f t="shared" si="10"/>
        <v>7.3965498704240042E-3</v>
      </c>
      <c r="V5" s="660" t="str">
        <f t="shared" si="0"/>
        <v>2. LUBRICANTES</v>
      </c>
      <c r="W5" s="663">
        <f>+B5/'[1]1-COSTO X KM'!B5-1</f>
        <v>0.24742880381732424</v>
      </c>
      <c r="X5" s="664">
        <f>+C5/'[1]1-COSTO X KM'!C5-1</f>
        <v>0.24742880381732424</v>
      </c>
      <c r="Y5" s="664">
        <f>+D5/'[1]1-COSTO X KM'!D5-1</f>
        <v>0.24742880381732424</v>
      </c>
      <c r="Z5" s="664">
        <f>+E5/'[1]1-COSTO X KM'!E5-1</f>
        <v>0.24742880381732424</v>
      </c>
      <c r="AA5" s="664">
        <f>+F5/'[1]1-COSTO X KM'!F5-1</f>
        <v>0.24742880381732424</v>
      </c>
      <c r="AB5" s="664">
        <f>+G5/'[1]1-COSTO X KM'!G5-1</f>
        <v>0.24742880381732424</v>
      </c>
      <c r="AC5" s="664">
        <f>+H5/'[1]1-COSTO X KM'!H5-1</f>
        <v>0.24742880381732424</v>
      </c>
      <c r="AD5" s="664">
        <f>+I5/'[1]1-COSTO X KM'!I5-1</f>
        <v>0.24742880381732424</v>
      </c>
      <c r="AE5" s="665">
        <f>+J5/'[1]1-COSTO X KM'!J5-1</f>
        <v>0.24742880381732424</v>
      </c>
      <c r="AF5" s="676" t="str">
        <f t="shared" si="1"/>
        <v>2. LUBRICANTES</v>
      </c>
      <c r="AG5" s="677">
        <f>+B5/'[2]1-COSTO X KM'!B5-1</f>
        <v>0.20023066495344533</v>
      </c>
      <c r="AH5" s="678">
        <f>+C5/'[2]1-COSTO X KM'!C5-1</f>
        <v>0.20023066495344533</v>
      </c>
      <c r="AI5" s="678">
        <f>+D5/'[2]1-COSTO X KM'!D5-1</f>
        <v>0.20023066495344533</v>
      </c>
      <c r="AJ5" s="678">
        <f>+E5/'[2]1-COSTO X KM'!E5-1</f>
        <v>0.20023066495344533</v>
      </c>
      <c r="AK5" s="678">
        <f>+F5/'[2]1-COSTO X KM'!F5-1</f>
        <v>0.20023066495344533</v>
      </c>
      <c r="AL5" s="678">
        <f>+G5/'[2]1-COSTO X KM'!G5-1</f>
        <v>0.20023066495344533</v>
      </c>
      <c r="AM5" s="678">
        <f>+H5/'[2]1-COSTO X KM'!H5-1</f>
        <v>0.20023066495344533</v>
      </c>
      <c r="AN5" s="678">
        <f>+I5/'[2]1-COSTO X KM'!I5-1</f>
        <v>0.20023066495344533</v>
      </c>
      <c r="AO5" s="679">
        <f>+J5/'[2]1-COSTO X KM'!J5-1</f>
        <v>0.20023066495344533</v>
      </c>
    </row>
    <row r="6" spans="1:41" ht="12.45" customHeight="1" x14ac:dyDescent="0.25">
      <c r="A6" s="319" t="s">
        <v>146</v>
      </c>
      <c r="B6" s="164">
        <f>((+'3- REND Y CONS'!B8*'5-PRECIOS SIN IVA'!B8)+('3- REND Y CONS'!B14*'5-PRECIOS SIN IVA'!B9*'3- REND Y CONS'!B8))*(1+'2- EMP. REP'!B9)/('3- REND Y CONS'!B13)</f>
        <v>79.139001460000003</v>
      </c>
      <c r="C6" s="164">
        <f>((+'3- REND Y CONS'!C8*'5-PRECIOS SIN IVA'!C8)+('3- REND Y CONS'!C14*'5-PRECIOS SIN IVA'!C9*'3- REND Y CONS'!C8))*(1+'2- EMP. REP'!C9)/('3- REND Y CONS'!C13)</f>
        <v>79.139001460000003</v>
      </c>
      <c r="D6" s="164">
        <f t="shared" ref="D6:J7" si="12">+C6</f>
        <v>79.139001460000003</v>
      </c>
      <c r="E6" s="164">
        <f t="shared" si="12"/>
        <v>79.139001460000003</v>
      </c>
      <c r="F6" s="164">
        <f t="shared" si="12"/>
        <v>79.139001460000003</v>
      </c>
      <c r="G6" s="164">
        <f t="shared" si="12"/>
        <v>79.139001460000003</v>
      </c>
      <c r="H6" s="164">
        <f t="shared" si="12"/>
        <v>79.139001460000003</v>
      </c>
      <c r="I6" s="164">
        <f t="shared" si="12"/>
        <v>79.139001460000003</v>
      </c>
      <c r="J6" s="705">
        <f t="shared" si="12"/>
        <v>79.139001460000003</v>
      </c>
      <c r="K6" s="594"/>
      <c r="L6" s="641" t="str">
        <f t="shared" si="2"/>
        <v>3. NEUMATICOS</v>
      </c>
      <c r="M6" s="642">
        <f t="shared" si="11"/>
        <v>2.0418920077149679E-2</v>
      </c>
      <c r="N6" s="643">
        <f t="shared" si="3"/>
        <v>2.2861495730617888E-2</v>
      </c>
      <c r="O6" s="643">
        <f t="shared" si="4"/>
        <v>2.8383224136090277E-2</v>
      </c>
      <c r="P6" s="643">
        <f t="shared" si="5"/>
        <v>3.3644640888001003E-2</v>
      </c>
      <c r="Q6" s="643">
        <f t="shared" si="6"/>
        <v>3.3292254997013625E-2</v>
      </c>
      <c r="R6" s="643">
        <f t="shared" si="7"/>
        <v>2.5713135504592099E-2</v>
      </c>
      <c r="S6" s="643">
        <f t="shared" si="8"/>
        <v>3.1974104729229166E-2</v>
      </c>
      <c r="T6" s="643">
        <f t="shared" si="9"/>
        <v>2.5458197432416306E-2</v>
      </c>
      <c r="U6" s="644">
        <f t="shared" si="10"/>
        <v>2.6866566535011193E-2</v>
      </c>
      <c r="V6" s="660" t="str">
        <f t="shared" si="0"/>
        <v>3. NEUMATICOS</v>
      </c>
      <c r="W6" s="663">
        <f>+B6/'[1]1-COSTO X KM'!B6-1</f>
        <v>0.24742929114319567</v>
      </c>
      <c r="X6" s="664">
        <f>+C6/'[1]1-COSTO X KM'!C6-1</f>
        <v>0.24742929114319567</v>
      </c>
      <c r="Y6" s="664">
        <f>+D6/'[1]1-COSTO X KM'!D6-1</f>
        <v>0.24742929114319567</v>
      </c>
      <c r="Z6" s="664">
        <f>+E6/'[1]1-COSTO X KM'!E6-1</f>
        <v>0.24742929114319567</v>
      </c>
      <c r="AA6" s="664">
        <f>+F6/'[1]1-COSTO X KM'!F6-1</f>
        <v>0.24742929114319567</v>
      </c>
      <c r="AB6" s="664">
        <f>+G6/'[1]1-COSTO X KM'!G6-1</f>
        <v>0.24742929114319567</v>
      </c>
      <c r="AC6" s="664">
        <f>+H6/'[1]1-COSTO X KM'!H6-1</f>
        <v>0.24742929114319567</v>
      </c>
      <c r="AD6" s="664">
        <f>+I6/'[1]1-COSTO X KM'!I6-1</f>
        <v>0.24742929114319567</v>
      </c>
      <c r="AE6" s="665">
        <f>+J6/'[1]1-COSTO X KM'!J6-1</f>
        <v>0.24742929114319567</v>
      </c>
      <c r="AF6" s="676" t="str">
        <f t="shared" si="1"/>
        <v>3. NEUMATICOS</v>
      </c>
      <c r="AG6" s="677">
        <f>+B6/'[2]1-COSTO X KM'!B6-1</f>
        <v>0.2002308641499444</v>
      </c>
      <c r="AH6" s="678">
        <f>+C6/'[2]1-COSTO X KM'!C6-1</f>
        <v>0.2002308641499444</v>
      </c>
      <c r="AI6" s="678">
        <f>+D6/'[2]1-COSTO X KM'!D6-1</f>
        <v>0.2002308641499444</v>
      </c>
      <c r="AJ6" s="678">
        <f>+E6/'[2]1-COSTO X KM'!E6-1</f>
        <v>0.2002308641499444</v>
      </c>
      <c r="AK6" s="678">
        <f>+F6/'[2]1-COSTO X KM'!F6-1</f>
        <v>0.2002308641499444</v>
      </c>
      <c r="AL6" s="678">
        <f>+G6/'[2]1-COSTO X KM'!G6-1</f>
        <v>0.2002308641499444</v>
      </c>
      <c r="AM6" s="678">
        <f>+H6/'[2]1-COSTO X KM'!H6-1</f>
        <v>0.2002308641499444</v>
      </c>
      <c r="AN6" s="678">
        <f>+I6/'[2]1-COSTO X KM'!I6-1</f>
        <v>0.2002308641499444</v>
      </c>
      <c r="AO6" s="679">
        <f>+J6/'[2]1-COSTO X KM'!J6-1</f>
        <v>0.2002308641499444</v>
      </c>
    </row>
    <row r="7" spans="1:41" ht="12.45" customHeight="1" x14ac:dyDescent="0.25">
      <c r="A7" s="319" t="s">
        <v>147</v>
      </c>
      <c r="B7" s="164">
        <f>+('3- REND Y CONS'!B16*'5-PRECIOS SIN IVA'!B10+'3- REND Y CONS'!B17*'5-PRECIOS SIN IVA'!B11+'3- REND Y CONS'!B18*'5-PRECIOS SIN IVA'!B12+'3- REND Y CONS'!B19*'5-PRECIOS SIN IVA'!B13+'3- REND Y CONS'!B20*'5-PRECIOS SIN IVA'!B14+'3- REND Y CONS'!B21*'5-PRECIOS SIN IVA'!B15+'3- REND Y CONS'!B22*'5-PRECIOS SIN IVA'!B16)/'3- REND Y CONS'!B23</f>
        <v>54.825193499999997</v>
      </c>
      <c r="C7" s="164">
        <f>+('3- REND Y CONS'!C16*'5-PRECIOS SIN IVA'!C10+'3- REND Y CONS'!C17*'5-PRECIOS SIN IVA'!C11+'3- REND Y CONS'!C18*'5-PRECIOS SIN IVA'!C12+'3- REND Y CONS'!C19*'5-PRECIOS SIN IVA'!C13+'3- REND Y CONS'!C20*'5-PRECIOS SIN IVA'!C14+'3- REND Y CONS'!C21*'5-PRECIOS SIN IVA'!C15+'3- REND Y CONS'!C22*'5-PRECIOS SIN IVA'!C16)/'3- REND Y CONS'!C23</f>
        <v>54.825193499999997</v>
      </c>
      <c r="D7" s="164">
        <f t="shared" si="12"/>
        <v>54.825193499999997</v>
      </c>
      <c r="E7" s="164">
        <f t="shared" si="12"/>
        <v>54.825193499999997</v>
      </c>
      <c r="F7" s="164">
        <f t="shared" si="12"/>
        <v>54.825193499999997</v>
      </c>
      <c r="G7" s="164">
        <f t="shared" si="12"/>
        <v>54.825193499999997</v>
      </c>
      <c r="H7" s="164">
        <f t="shared" si="12"/>
        <v>54.825193499999997</v>
      </c>
      <c r="I7" s="164">
        <f t="shared" si="12"/>
        <v>54.825193499999997</v>
      </c>
      <c r="J7" s="705">
        <f t="shared" si="12"/>
        <v>54.825193499999997</v>
      </c>
      <c r="K7" s="594"/>
      <c r="L7" s="641" t="str">
        <f t="shared" si="2"/>
        <v>4. ENGRASE Y LAVADO</v>
      </c>
      <c r="M7" s="642">
        <f t="shared" si="11"/>
        <v>1.4145632667055969E-2</v>
      </c>
      <c r="N7" s="643">
        <f t="shared" si="3"/>
        <v>1.583777788457516E-2</v>
      </c>
      <c r="O7" s="643">
        <f t="shared" si="4"/>
        <v>1.9663070378788422E-2</v>
      </c>
      <c r="P7" s="643">
        <f t="shared" si="5"/>
        <v>2.3308026546872567E-2</v>
      </c>
      <c r="Q7" s="643">
        <f t="shared" si="6"/>
        <v>2.3063903872797407E-2</v>
      </c>
      <c r="R7" s="643">
        <f t="shared" si="7"/>
        <v>1.7813310801545988E-2</v>
      </c>
      <c r="S7" s="643">
        <f t="shared" si="8"/>
        <v>2.2150727788185234E-2</v>
      </c>
      <c r="T7" s="643">
        <f t="shared" si="9"/>
        <v>1.7636697135974037E-2</v>
      </c>
      <c r="U7" s="644">
        <f t="shared" si="10"/>
        <v>1.8612374199680898E-2</v>
      </c>
      <c r="V7" s="660" t="str">
        <f t="shared" si="0"/>
        <v>4. ENGRASE Y LAVADO</v>
      </c>
      <c r="W7" s="663">
        <f>+B7/'[1]1-COSTO X KM'!B7-1</f>
        <v>0.24742929932143554</v>
      </c>
      <c r="X7" s="664">
        <f>+C7/'[1]1-COSTO X KM'!C7-1</f>
        <v>0.24742929932143554</v>
      </c>
      <c r="Y7" s="664">
        <f>+D7/'[1]1-COSTO X KM'!D7-1</f>
        <v>0.24742929932143554</v>
      </c>
      <c r="Z7" s="664">
        <f>+E7/'[1]1-COSTO X KM'!E7-1</f>
        <v>0.24742929932143554</v>
      </c>
      <c r="AA7" s="664">
        <f>+F7/'[1]1-COSTO X KM'!F7-1</f>
        <v>0.24742929932143554</v>
      </c>
      <c r="AB7" s="664">
        <f>+G7/'[1]1-COSTO X KM'!G7-1</f>
        <v>0.24742929932143554</v>
      </c>
      <c r="AC7" s="664">
        <f>+H7/'[1]1-COSTO X KM'!H7-1</f>
        <v>0.24742929932143554</v>
      </c>
      <c r="AD7" s="664">
        <f>+I7/'[1]1-COSTO X KM'!I7-1</f>
        <v>0.24742929932143554</v>
      </c>
      <c r="AE7" s="665">
        <f>+J7/'[1]1-COSTO X KM'!J7-1</f>
        <v>0.24742929932143554</v>
      </c>
      <c r="AF7" s="676" t="str">
        <f t="shared" si="1"/>
        <v>4. ENGRASE Y LAVADO</v>
      </c>
      <c r="AG7" s="677">
        <f>+B7/'[2]1-COSTO X KM'!B7-1</f>
        <v>0.20023079814962386</v>
      </c>
      <c r="AH7" s="678">
        <f>+C7/'[2]1-COSTO X KM'!C7-1</f>
        <v>0.20023079814962386</v>
      </c>
      <c r="AI7" s="678">
        <f>+D7/'[2]1-COSTO X KM'!D7-1</f>
        <v>0.20023079814962386</v>
      </c>
      <c r="AJ7" s="678">
        <f>+E7/'[2]1-COSTO X KM'!E7-1</f>
        <v>0.20023079814962386</v>
      </c>
      <c r="AK7" s="678">
        <f>+F7/'[2]1-COSTO X KM'!F7-1</f>
        <v>0.20023079814962386</v>
      </c>
      <c r="AL7" s="678">
        <f>+G7/'[2]1-COSTO X KM'!G7-1</f>
        <v>0.20023079814962386</v>
      </c>
      <c r="AM7" s="678">
        <f>+H7/'[2]1-COSTO X KM'!H7-1</f>
        <v>0.20023079814962386</v>
      </c>
      <c r="AN7" s="678">
        <f>+I7/'[2]1-COSTO X KM'!I7-1</f>
        <v>0.20023079814962386</v>
      </c>
      <c r="AO7" s="679">
        <f>+J7/'[2]1-COSTO X KM'!J7-1</f>
        <v>0.20023079814962386</v>
      </c>
    </row>
    <row r="8" spans="1:41" ht="22.5" customHeight="1" x14ac:dyDescent="0.25">
      <c r="A8" s="319" t="s">
        <v>148</v>
      </c>
      <c r="B8" s="164">
        <f t="shared" ref="B8:J8" si="13">+B9+B10</f>
        <v>256.9585771440195</v>
      </c>
      <c r="C8" s="164">
        <f t="shared" si="13"/>
        <v>236.57636572259148</v>
      </c>
      <c r="D8" s="164">
        <f t="shared" si="13"/>
        <v>179.3195444980089</v>
      </c>
      <c r="E8" s="164">
        <f t="shared" si="13"/>
        <v>331.63573358236016</v>
      </c>
      <c r="F8" s="164">
        <f t="shared" si="13"/>
        <v>157.16111190376316</v>
      </c>
      <c r="G8" s="164">
        <f t="shared" si="13"/>
        <v>211.81001132639665</v>
      </c>
      <c r="H8" s="164">
        <f t="shared" si="13"/>
        <v>155.52701473125188</v>
      </c>
      <c r="I8" s="164">
        <f t="shared" si="13"/>
        <v>197.02862663307926</v>
      </c>
      <c r="J8" s="705">
        <f t="shared" si="13"/>
        <v>183.05809700212174</v>
      </c>
      <c r="K8" s="594"/>
      <c r="L8" s="641" t="str">
        <f t="shared" si="2"/>
        <v>5. REPARACION Y MANTENIMIENTO DEL MATERIAL RODANTE</v>
      </c>
      <c r="M8" s="642">
        <f t="shared" si="11"/>
        <v>6.6298747179591139E-2</v>
      </c>
      <c r="N8" s="643">
        <f t="shared" si="3"/>
        <v>6.8341645398012588E-2</v>
      </c>
      <c r="O8" s="643">
        <f t="shared" si="4"/>
        <v>6.4313002812413811E-2</v>
      </c>
      <c r="P8" s="643">
        <f t="shared" si="5"/>
        <v>0.14098946102632923</v>
      </c>
      <c r="Q8" s="643">
        <f t="shared" si="6"/>
        <v>6.6114655436471007E-2</v>
      </c>
      <c r="R8" s="643">
        <f t="shared" si="7"/>
        <v>6.8819411693204144E-2</v>
      </c>
      <c r="S8" s="643">
        <f t="shared" si="8"/>
        <v>6.2836742510011132E-2</v>
      </c>
      <c r="T8" s="643">
        <f t="shared" si="9"/>
        <v>6.3382069322646839E-2</v>
      </c>
      <c r="U8" s="644">
        <f t="shared" si="10"/>
        <v>6.2145622918503229E-2</v>
      </c>
      <c r="V8" s="660" t="str">
        <f t="shared" si="0"/>
        <v>5. REPARACION Y MANTENIMIENTO DEL MATERIAL RODANTE</v>
      </c>
      <c r="W8" s="663">
        <f>+B8/'[1]1-COSTO X KM'!B8-1</f>
        <v>0.50542842038272817</v>
      </c>
      <c r="X8" s="664">
        <f>+C8/'[1]1-COSTO X KM'!C8-1</f>
        <v>0.77630776231736243</v>
      </c>
      <c r="Y8" s="664">
        <f>+D8/'[1]1-COSTO X KM'!D8-1</f>
        <v>0.79036721484339512</v>
      </c>
      <c r="Z8" s="664">
        <f>+E8/'[1]1-COSTO X KM'!E8-1</f>
        <v>0.66283191037481903</v>
      </c>
      <c r="AA8" s="664">
        <f>+F8/'[1]1-COSTO X KM'!F8-1</f>
        <v>0.92594680174916544</v>
      </c>
      <c r="AB8" s="664">
        <f>+G8/'[1]1-COSTO X KM'!G8-1</f>
        <v>0.56262510009000111</v>
      </c>
      <c r="AC8" s="664">
        <f>+H8/'[1]1-COSTO X KM'!H8-1</f>
        <v>0.7261454885451224</v>
      </c>
      <c r="AD8" s="664">
        <f>+I8/'[1]1-COSTO X KM'!I8-1</f>
        <v>0.5903390080940718</v>
      </c>
      <c r="AE8" s="665">
        <f>+J8/'[1]1-COSTO X KM'!J8-1</f>
        <v>0.63489943892305556</v>
      </c>
      <c r="AF8" s="676" t="str">
        <f t="shared" si="1"/>
        <v>5. REPARACION Y MANTENIMIENTO DEL MATERIAL RODANTE</v>
      </c>
      <c r="AG8" s="677">
        <f>+B8/'[2]1-COSTO X KM'!B8-1</f>
        <v>0.33283839291120088</v>
      </c>
      <c r="AH8" s="678">
        <f>+C8/'[2]1-COSTO X KM'!C8-1</f>
        <v>0.38543489395092556</v>
      </c>
      <c r="AI8" s="678">
        <f>+D8/'[2]1-COSTO X KM'!D8-1</f>
        <v>0.4002050026046291</v>
      </c>
      <c r="AJ8" s="678">
        <f>+E8/'[2]1-COSTO X KM'!E8-1</f>
        <v>0.31315699420676379</v>
      </c>
      <c r="AK8" s="678">
        <f>+F8/'[2]1-COSTO X KM'!F8-1</f>
        <v>0.53123515269561561</v>
      </c>
      <c r="AL8" s="678">
        <f>+G8/'[2]1-COSTO X KM'!G8-1</f>
        <v>0.39557490001749551</v>
      </c>
      <c r="AM8" s="678">
        <f>+H8/'[2]1-COSTO X KM'!H8-1</f>
        <v>0.48715587043836717</v>
      </c>
      <c r="AN8" s="678">
        <f>+I8/'[2]1-COSTO X KM'!I8-1</f>
        <v>0.41863609392264722</v>
      </c>
      <c r="AO8" s="679">
        <f>+J8/'[2]1-COSTO X KM'!J8-1</f>
        <v>0.46531434240462155</v>
      </c>
    </row>
    <row r="9" spans="1:41" ht="12.45" customHeight="1" x14ac:dyDescent="0.25">
      <c r="A9" s="314" t="s">
        <v>149</v>
      </c>
      <c r="B9" s="309">
        <f>+'3- REND Y CONS'!B24*('5-PRECIOS SIN IVA'!B17-6*'5-PRECIOS SIN IVA'!B8)*'2- EMP. REP'!B11/'2- EMP. REP'!B10</f>
        <v>176.60975306223696</v>
      </c>
      <c r="C9" s="309">
        <f>+'3- REND Y CONS'!C24*('5-PRECIOS SIN IVA'!C17-6*'5-PRECIOS SIN IVA'!C8)*'2- EMP. REP'!C11/'2- EMP. REP'!C10</f>
        <v>162.60089075450728</v>
      </c>
      <c r="D9" s="309">
        <f>+'3- REND Y CONS'!D24*('5-PRECIOS SIN IVA'!D17-6*'5-PRECIOS SIN IVA'!D8)*'2- EMP. REP'!D11/'2- EMP. REP'!D10</f>
        <v>123.24780447113108</v>
      </c>
      <c r="E9" s="309">
        <f>+'3- REND Y CONS'!E24*('5-PRECIOS SIN IVA'!E17-6*'5-PRECIOS SIN IVA'!E8)*'2- EMP. REP'!E11/'2- EMP. REP'!E10</f>
        <v>211.87430109374048</v>
      </c>
      <c r="F9" s="309">
        <f>+'3- REND Y CONS'!F24*('5-PRECIOS SIN IVA'!F17-6*'5-PRECIOS SIN IVA'!F8)*'2- EMP. REP'!F11/'2- EMP. REP'!F10</f>
        <v>108.01813067618866</v>
      </c>
      <c r="G9" s="309">
        <f>+'3- REND Y CONS'!G24*('5-PRECIOS SIN IVA'!G17-6*'5-PRECIOS SIN IVA'!G8)*'2- EMP. REP'!G11/'2- EMP. REP'!G10</f>
        <v>145.57877075844152</v>
      </c>
      <c r="H9" s="309">
        <f>+'3- REND Y CONS'!H24*('5-PRECIOS SIN IVA'!H17-6*'5-PRECIOS SIN IVA'!H8)*'2- EMP. REP'!H11/'2- EMP. REP'!H10</f>
        <v>106.89500218861471</v>
      </c>
      <c r="I9" s="309">
        <f>+'3- REND Y CONS'!I24*('5-PRECIOS SIN IVA'!I17-6*'5-PRECIOS SIN IVA'!I8)*'2- EMP. REP'!I11/'2- EMP. REP'!I10</f>
        <v>135.13232123070065</v>
      </c>
      <c r="J9" s="315">
        <f>+'3- REND Y CONS'!J24*('5-PRECIOS SIN IVA'!J17-6*'5-PRECIOS SIN IVA'!J8)*'2- EMP. REP'!J11/'2- EMP. REP'!J10</f>
        <v>125.55061663216382</v>
      </c>
      <c r="K9" s="594"/>
      <c r="L9" s="632" t="str">
        <f t="shared" si="2"/>
        <v>. Reparación y mant. chasis (incluye boletera y rampa)</v>
      </c>
      <c r="M9" s="628"/>
      <c r="N9" s="619"/>
      <c r="O9" s="619"/>
      <c r="P9" s="619"/>
      <c r="Q9" s="619"/>
      <c r="R9" s="619"/>
      <c r="S9" s="619"/>
      <c r="T9" s="619"/>
      <c r="U9" s="622"/>
      <c r="V9" s="632" t="str">
        <f t="shared" si="0"/>
        <v>. Reparación y mant. chasis (incluye boletera y rampa)</v>
      </c>
      <c r="W9" s="628"/>
      <c r="X9" s="619"/>
      <c r="Y9" s="619"/>
      <c r="Z9" s="619"/>
      <c r="AA9" s="619"/>
      <c r="AB9" s="619"/>
      <c r="AC9" s="619"/>
      <c r="AD9" s="619"/>
      <c r="AE9" s="622"/>
      <c r="AF9" s="632" t="str">
        <f t="shared" si="1"/>
        <v>. Reparación y mant. chasis (incluye boletera y rampa)</v>
      </c>
      <c r="AG9" s="628"/>
      <c r="AH9" s="619"/>
      <c r="AI9" s="619"/>
      <c r="AJ9" s="619"/>
      <c r="AK9" s="619"/>
      <c r="AL9" s="619"/>
      <c r="AM9" s="619"/>
      <c r="AN9" s="619"/>
      <c r="AO9" s="622"/>
    </row>
    <row r="10" spans="1:41" ht="12.45" customHeight="1" x14ac:dyDescent="0.25">
      <c r="A10" s="314" t="s">
        <v>150</v>
      </c>
      <c r="B10" s="309">
        <f>+'3- REND Y CONS'!B25*'5-PRECIOS SIN IVA'!B18*'2- EMP. REP'!B11/'2- EMP. REP'!B10</f>
        <v>80.34882408178251</v>
      </c>
      <c r="C10" s="309">
        <f>+'3- REND Y CONS'!C25*'5-PRECIOS SIN IVA'!C18*'2- EMP. REP'!C11/'2- EMP. REP'!C10</f>
        <v>73.9754749680842</v>
      </c>
      <c r="D10" s="309">
        <f>+'3- REND Y CONS'!D25*'5-PRECIOS SIN IVA'!D18*'2- EMP. REP'!D11/'2- EMP. REP'!D10</f>
        <v>56.071740026877812</v>
      </c>
      <c r="E10" s="309">
        <f>+'3- REND Y CONS'!E25*'5-PRECIOS SIN IVA'!E18*'2- EMP. REP'!E11/'2- EMP. REP'!E10</f>
        <v>119.76143248861966</v>
      </c>
      <c r="F10" s="309">
        <f>+'3- REND Y CONS'!F25*'5-PRECIOS SIN IVA'!F18*'2- EMP. REP'!F11/'2- EMP. REP'!F10</f>
        <v>49.142981227574495</v>
      </c>
      <c r="G10" s="309">
        <f>+'3- REND Y CONS'!G25*'5-PRECIOS SIN IVA'!G18*'2- EMP. REP'!G11/'2- EMP. REP'!G10</f>
        <v>66.231240567955112</v>
      </c>
      <c r="H10" s="309">
        <f>+'3- REND Y CONS'!H25*'5-PRECIOS SIN IVA'!H18*'2- EMP. REP'!H11/'2- EMP. REP'!H10</f>
        <v>48.632012542637163</v>
      </c>
      <c r="I10" s="309">
        <f>+'3- REND Y CONS'!I25*'5-PRECIOS SIN IVA'!I18*'2- EMP. REP'!I11/'2- EMP. REP'!I10</f>
        <v>61.896305402378594</v>
      </c>
      <c r="J10" s="315">
        <f>+'3- REND Y CONS'!J25*'5-PRECIOS SIN IVA'!J18*'2- EMP. REP'!J11/'2- EMP. REP'!J10</f>
        <v>57.507480369957918</v>
      </c>
      <c r="K10" s="594"/>
      <c r="L10" s="632" t="str">
        <f t="shared" si="2"/>
        <v>. Reparación y Mant. carrocería</v>
      </c>
      <c r="M10" s="628"/>
      <c r="N10" s="619"/>
      <c r="O10" s="619"/>
      <c r="P10" s="619"/>
      <c r="Q10" s="619"/>
      <c r="R10" s="619"/>
      <c r="S10" s="619"/>
      <c r="T10" s="619"/>
      <c r="U10" s="622"/>
      <c r="V10" s="632" t="str">
        <f t="shared" si="0"/>
        <v>. Reparación y Mant. carrocería</v>
      </c>
      <c r="W10" s="628"/>
      <c r="X10" s="619"/>
      <c r="Y10" s="619"/>
      <c r="Z10" s="619"/>
      <c r="AA10" s="619"/>
      <c r="AB10" s="619"/>
      <c r="AC10" s="619"/>
      <c r="AD10" s="619"/>
      <c r="AE10" s="622"/>
      <c r="AF10" s="632" t="str">
        <f t="shared" si="1"/>
        <v>. Reparación y Mant. carrocería</v>
      </c>
      <c r="AG10" s="628"/>
      <c r="AH10" s="619"/>
      <c r="AI10" s="619"/>
      <c r="AJ10" s="619"/>
      <c r="AK10" s="619"/>
      <c r="AL10" s="619"/>
      <c r="AM10" s="619"/>
      <c r="AN10" s="619"/>
      <c r="AO10" s="622"/>
    </row>
    <row r="11" spans="1:41" ht="12.45" customHeight="1" x14ac:dyDescent="0.25">
      <c r="A11" s="319" t="s">
        <v>151</v>
      </c>
      <c r="B11" s="164">
        <f t="shared" ref="B11:J11" si="14">+B12+B13</f>
        <v>309.33279199375124</v>
      </c>
      <c r="C11" s="164">
        <f t="shared" si="14"/>
        <v>219.07400419307453</v>
      </c>
      <c r="D11" s="164">
        <f t="shared" si="14"/>
        <v>166.0531495750576</v>
      </c>
      <c r="E11" s="164">
        <f t="shared" si="14"/>
        <v>153.40363395385731</v>
      </c>
      <c r="F11" s="164">
        <f t="shared" si="14"/>
        <v>145.5340392225217</v>
      </c>
      <c r="G11" s="164">
        <f t="shared" si="14"/>
        <v>196.13991096585306</v>
      </c>
      <c r="H11" s="164">
        <f t="shared" si="14"/>
        <v>144.02083561180089</v>
      </c>
      <c r="I11" s="164">
        <f t="shared" si="14"/>
        <v>182.4468359661621</v>
      </c>
      <c r="J11" s="705">
        <f t="shared" si="14"/>
        <v>169.51024410387186</v>
      </c>
      <c r="K11" s="594"/>
      <c r="L11" s="641" t="str">
        <f t="shared" si="2"/>
        <v>6. DEPRECIACION DEL MATERIAL RODANTE</v>
      </c>
      <c r="M11" s="642">
        <f t="shared" ref="M11:U11" si="15">+B11/B$51</f>
        <v>7.9811994597309296E-2</v>
      </c>
      <c r="N11" s="643">
        <f t="shared" si="15"/>
        <v>6.3285602789425674E-2</v>
      </c>
      <c r="O11" s="643">
        <f t="shared" si="15"/>
        <v>5.9555006708983865E-2</v>
      </c>
      <c r="P11" s="643">
        <f t="shared" si="15"/>
        <v>6.5217024224150308E-2</v>
      </c>
      <c r="Q11" s="643">
        <f t="shared" si="15"/>
        <v>6.1223369705902961E-2</v>
      </c>
      <c r="R11" s="643">
        <f t="shared" si="15"/>
        <v>6.3728023041492762E-2</v>
      </c>
      <c r="S11" s="643">
        <f t="shared" si="15"/>
        <v>5.8187962901835921E-2</v>
      </c>
      <c r="T11" s="643">
        <f t="shared" si="15"/>
        <v>5.8691258232439002E-2</v>
      </c>
      <c r="U11" s="644">
        <f t="shared" si="15"/>
        <v>5.7546319356638766E-2</v>
      </c>
      <c r="V11" s="660" t="str">
        <f t="shared" si="0"/>
        <v>6. DEPRECIACION DEL MATERIAL RODANTE</v>
      </c>
      <c r="W11" s="663">
        <f>+B11/'[1]1-COSTO X KM'!B11-1</f>
        <v>0.95715192079490929</v>
      </c>
      <c r="X11" s="664">
        <f>+C11/'[1]1-COSTO X KM'!C11-1</f>
        <v>0.77639396501163116</v>
      </c>
      <c r="Y11" s="664">
        <f>+D11/'[1]1-COSTO X KM'!D11-1</f>
        <v>0.79045409983085224</v>
      </c>
      <c r="Z11" s="664">
        <f>+E11/'[1]1-COSTO X KM'!E11-1</f>
        <v>0.66289825430287541</v>
      </c>
      <c r="AA11" s="664">
        <f>+F11/'[1]1-COSTO X KM'!F11-1</f>
        <v>0.9260402662978493</v>
      </c>
      <c r="AB11" s="664">
        <f>+G11/'[1]1-COSTO X KM'!G11-1</f>
        <v>0.56270093294769419</v>
      </c>
      <c r="AC11" s="664">
        <f>+H11/'[1]1-COSTO X KM'!H11-1</f>
        <v>0.72622925690720908</v>
      </c>
      <c r="AD11" s="664">
        <f>+I11/'[1]1-COSTO X KM'!I11-1</f>
        <v>0.59042916271130719</v>
      </c>
      <c r="AE11" s="665">
        <f>+J11/'[1]1-COSTO X KM'!J11-1</f>
        <v>0.63499211962344959</v>
      </c>
      <c r="AF11" s="676" t="str">
        <f t="shared" si="1"/>
        <v>6. DEPRECIACION DEL MATERIAL RODANTE</v>
      </c>
      <c r="AG11" s="677">
        <f>+B11/'[2]1-COSTO X KM'!B11-1</f>
        <v>0.33287973225260536</v>
      </c>
      <c r="AH11" s="678">
        <f>+C11/'[2]1-COSTO X KM'!C11-1</f>
        <v>0.38547786462642453</v>
      </c>
      <c r="AI11" s="678">
        <f>+D11/'[2]1-COSTO X KM'!D11-1</f>
        <v>0.40024843139010402</v>
      </c>
      <c r="AJ11" s="678">
        <f>+E11/'[2]1-COSTO X KM'!E11-1</f>
        <v>0.31319050677135674</v>
      </c>
      <c r="AK11" s="678">
        <f>+F11/'[2]1-COSTO X KM'!F11-1</f>
        <v>0.53128264551476301</v>
      </c>
      <c r="AL11" s="678">
        <f>+G11/'[2]1-COSTO X KM'!G11-1</f>
        <v>0.39561818519561909</v>
      </c>
      <c r="AM11" s="678">
        <f>+H11/'[2]1-COSTO X KM'!H11-1</f>
        <v>0.48720199609364245</v>
      </c>
      <c r="AN11" s="678">
        <f>+I11/'[2]1-COSTO X KM'!I11-1</f>
        <v>0.41868746899800313</v>
      </c>
      <c r="AO11" s="679">
        <f>+J11/'[2]1-COSTO X KM'!J11-1</f>
        <v>0.46536740790541042</v>
      </c>
    </row>
    <row r="12" spans="1:41" ht="12.45" customHeight="1" x14ac:dyDescent="0.25">
      <c r="A12" s="314" t="s">
        <v>152</v>
      </c>
      <c r="B12" s="309">
        <f>+('5-PRECIOS SIN IVA'!B21+('5-PRECIOS SIN IVA'!B21*'5-PRECIOS SIN IVA'!B19))/'2- EMP. REP'!B10</f>
        <v>213.91856339663451</v>
      </c>
      <c r="C12" s="309">
        <f>+('5-PRECIOS SIN IVA'!C21+('5-PRECIOS SIN IVA'!C21*'5-PRECIOS SIN IVA'!C19))/'2- EMP. REP'!C10</f>
        <v>151.50025302030531</v>
      </c>
      <c r="D12" s="309">
        <f>+('5-PRECIOS SIN IVA'!D21+('5-PRECIOS SIN IVA'!D21*'5-PRECIOS SIN IVA'!D19))/'2- EMP. REP'!D10</f>
        <v>114.83377166589038</v>
      </c>
      <c r="E12" s="309">
        <f>+('5-PRECIOS SIN IVA'!E21+('5-PRECIOS SIN IVA'!E21*'5-PRECIOS SIN IVA'!E19))/'2- EMP. REP'!E10</f>
        <v>98.704902769151218</v>
      </c>
      <c r="F12" s="309">
        <f>+('5-PRECIOS SIN IVA'!F21+('5-PRECIOS SIN IVA'!F21*'5-PRECIOS SIN IVA'!F19))/'2- EMP. REP'!F10</f>
        <v>100.643815985795</v>
      </c>
      <c r="G12" s="309">
        <f>+('5-PRECIOS SIN IVA'!G21+('5-PRECIOS SIN IVA'!G21*'5-PRECIOS SIN IVA'!G19))/'2- EMP. REP'!G10</f>
        <v>135.64022006243252</v>
      </c>
      <c r="H12" s="309">
        <f>+('5-PRECIOS SIN IVA'!H21+('5-PRECIOS SIN IVA'!H21*'5-PRECIOS SIN IVA'!H19))/'2- EMP. REP'!H10</f>
        <v>99.597362616122723</v>
      </c>
      <c r="I12" s="309">
        <f>+('5-PRECIOS SIN IVA'!I21+('5-PRECIOS SIN IVA'!I21*'5-PRECIOS SIN IVA'!I19))/'2- EMP. REP'!I10</f>
        <v>125.90694160822012</v>
      </c>
      <c r="J12" s="315">
        <f>+('5-PRECIOS SIN IVA'!J21+('5-PRECIOS SIN IVA'!J21*'5-PRECIOS SIN IVA'!J19))/'2- EMP. REP'!J10</f>
        <v>116.9793726120834</v>
      </c>
      <c r="K12" s="594"/>
      <c r="L12" s="632" t="str">
        <f t="shared" si="2"/>
        <v>. Chasis (incluye boletera y rampa)</v>
      </c>
      <c r="M12" s="628"/>
      <c r="N12" s="619"/>
      <c r="O12" s="619"/>
      <c r="P12" s="619"/>
      <c r="Q12" s="619"/>
      <c r="R12" s="619"/>
      <c r="S12" s="619"/>
      <c r="T12" s="619"/>
      <c r="U12" s="622"/>
      <c r="V12" s="632" t="str">
        <f t="shared" si="0"/>
        <v>. Chasis (incluye boletera y rampa)</v>
      </c>
      <c r="W12" s="628"/>
      <c r="X12" s="619"/>
      <c r="Y12" s="619"/>
      <c r="Z12" s="619"/>
      <c r="AA12" s="619"/>
      <c r="AB12" s="619"/>
      <c r="AC12" s="619"/>
      <c r="AD12" s="619"/>
      <c r="AE12" s="622"/>
      <c r="AF12" s="632" t="str">
        <f t="shared" si="1"/>
        <v>. Chasis (incluye boletera y rampa)</v>
      </c>
      <c r="AG12" s="628"/>
      <c r="AH12" s="619"/>
      <c r="AI12" s="619"/>
      <c r="AJ12" s="619"/>
      <c r="AK12" s="619"/>
      <c r="AL12" s="619"/>
      <c r="AM12" s="619"/>
      <c r="AN12" s="619"/>
      <c r="AO12" s="622"/>
    </row>
    <row r="13" spans="1:41" ht="12.45" customHeight="1" x14ac:dyDescent="0.25">
      <c r="A13" s="314" t="s">
        <v>153</v>
      </c>
      <c r="B13" s="309">
        <f>+'5-PRECIOS SIN IVA'!B22/'2- EMP. REP'!B10</f>
        <v>95.414228597116733</v>
      </c>
      <c r="C13" s="309">
        <f>+'5-PRECIOS SIN IVA'!C22/'2- EMP. REP'!C10</f>
        <v>67.573751172769221</v>
      </c>
      <c r="D13" s="309">
        <f>+'5-PRECIOS SIN IVA'!D22/'2- EMP. REP'!D10</f>
        <v>51.219377909167235</v>
      </c>
      <c r="E13" s="309">
        <f>+'5-PRECIOS SIN IVA'!E22/'2- EMP. REP'!E10</f>
        <v>54.698731184706091</v>
      </c>
      <c r="F13" s="309">
        <f>+'5-PRECIOS SIN IVA'!F22/'2- EMP. REP'!F10</f>
        <v>44.890223236726698</v>
      </c>
      <c r="G13" s="309">
        <f>+'5-PRECIOS SIN IVA'!G22/'2- EMP. REP'!G10</f>
        <v>60.499690903420536</v>
      </c>
      <c r="H13" s="309">
        <f>+'5-PRECIOS SIN IVA'!H22/'2- EMP. REP'!H10</f>
        <v>44.423472995678175</v>
      </c>
      <c r="I13" s="309">
        <f>+'5-PRECIOS SIN IVA'!I22/'2- EMP. REP'!I10</f>
        <v>56.539894357941975</v>
      </c>
      <c r="J13" s="315">
        <f>+'5-PRECIOS SIN IVA'!J22/'2- EMP. REP'!J10</f>
        <v>52.530871491788474</v>
      </c>
      <c r="K13" s="594"/>
      <c r="L13" s="632" t="str">
        <f t="shared" si="2"/>
        <v>. Carrocería</v>
      </c>
      <c r="M13" s="628"/>
      <c r="N13" s="619"/>
      <c r="O13" s="619"/>
      <c r="P13" s="619"/>
      <c r="Q13" s="619"/>
      <c r="R13" s="619"/>
      <c r="S13" s="619"/>
      <c r="T13" s="619"/>
      <c r="U13" s="622"/>
      <c r="V13" s="632" t="str">
        <f t="shared" si="0"/>
        <v>. Carrocería</v>
      </c>
      <c r="W13" s="628"/>
      <c r="X13" s="619"/>
      <c r="Y13" s="619"/>
      <c r="Z13" s="619"/>
      <c r="AA13" s="619"/>
      <c r="AB13" s="619"/>
      <c r="AC13" s="619"/>
      <c r="AD13" s="619"/>
      <c r="AE13" s="622"/>
      <c r="AF13" s="632" t="str">
        <f t="shared" si="1"/>
        <v>. Carrocería</v>
      </c>
      <c r="AG13" s="628"/>
      <c r="AH13" s="619"/>
      <c r="AI13" s="619"/>
      <c r="AJ13" s="619"/>
      <c r="AK13" s="619"/>
      <c r="AL13" s="619"/>
      <c r="AM13" s="619"/>
      <c r="AN13" s="619"/>
      <c r="AO13" s="622"/>
    </row>
    <row r="14" spans="1:41" ht="12.45" customHeight="1" x14ac:dyDescent="0.25">
      <c r="A14" s="319" t="s">
        <v>154</v>
      </c>
      <c r="B14" s="164">
        <f t="shared" ref="B14:J14" si="16">SUM(B15:B18)</f>
        <v>207.38516681406799</v>
      </c>
      <c r="C14" s="164">
        <f t="shared" si="16"/>
        <v>190.93516789730356</v>
      </c>
      <c r="D14" s="164">
        <f t="shared" si="16"/>
        <v>144.72454689807498</v>
      </c>
      <c r="E14" s="164">
        <f t="shared" si="16"/>
        <v>104.32364239794161</v>
      </c>
      <c r="F14" s="164">
        <f t="shared" si="16"/>
        <v>126.84100204438303</v>
      </c>
      <c r="G14" s="164">
        <f t="shared" si="16"/>
        <v>170.94683127543442</v>
      </c>
      <c r="H14" s="164">
        <f t="shared" si="16"/>
        <v>125.52216101374596</v>
      </c>
      <c r="I14" s="164">
        <f t="shared" si="16"/>
        <v>178.69631828792876</v>
      </c>
      <c r="J14" s="705">
        <f t="shared" si="16"/>
        <v>166.02566097154983</v>
      </c>
      <c r="K14" s="594"/>
      <c r="L14" s="641" t="str">
        <f t="shared" si="2"/>
        <v>7. SEGURO DEL VEHÍCULO</v>
      </c>
      <c r="M14" s="642">
        <f t="shared" ref="M14:M42" si="17">+B14/B$51</f>
        <v>5.3508144761001741E-2</v>
      </c>
      <c r="N14" s="643">
        <f t="shared" ref="N14:N42" si="18">+C14/C$51</f>
        <v>5.5156919409897934E-2</v>
      </c>
      <c r="O14" s="643">
        <f t="shared" ref="O14:O42" si="19">+D14/D$51</f>
        <v>5.1905497628478299E-2</v>
      </c>
      <c r="P14" s="643">
        <f t="shared" ref="P14:P42" si="20">+E14/E$51</f>
        <v>4.4351475503276859E-2</v>
      </c>
      <c r="Q14" s="643">
        <f t="shared" ref="Q14:Q42" si="21">+F14/F$51</f>
        <v>5.3359568685898931E-2</v>
      </c>
      <c r="R14" s="643">
        <f t="shared" ref="R14:R42" si="22">+G14/G$51</f>
        <v>5.5542513243455417E-2</v>
      </c>
      <c r="S14" s="643">
        <f t="shared" ref="S14:S42" si="23">+H14/H$51</f>
        <v>5.071404298828866E-2</v>
      </c>
      <c r="T14" s="643">
        <f t="shared" ref="T14:T42" si="24">+I14/I$51</f>
        <v>5.7484755524990862E-2</v>
      </c>
      <c r="U14" s="644">
        <f t="shared" ref="U14:U42" si="25">+J14/J$51</f>
        <v>5.6363352894538199E-2</v>
      </c>
      <c r="V14" s="660" t="str">
        <f t="shared" si="0"/>
        <v>7. SEGURO DEL VEHÍCULO</v>
      </c>
      <c r="W14" s="663">
        <f>+B14/'[1]1-COSTO X KM'!B14-1</f>
        <v>0.2610034091250435</v>
      </c>
      <c r="X14" s="664">
        <f>+C14/'[1]1-COSTO X KM'!C14-1</f>
        <v>0.48790212381403619</v>
      </c>
      <c r="Y14" s="664">
        <f>+D14/'[1]1-COSTO X KM'!D14-1</f>
        <v>0.4996788495126594</v>
      </c>
      <c r="Z14" s="664">
        <f>+E14/'[1]1-COSTO X KM'!E14-1</f>
        <v>0.41486000311131166</v>
      </c>
      <c r="AA14" s="664">
        <f>+F14/'[1]1-COSTO X KM'!F14-1</f>
        <v>0.61324540570433572</v>
      </c>
      <c r="AB14" s="664">
        <f>+G14/'[1]1-COSTO X KM'!G14-1</f>
        <v>0.30891349712721317</v>
      </c>
      <c r="AC14" s="664">
        <f>+H14/'[1]1-COSTO X KM'!H14-1</f>
        <v>0.44588431853029054</v>
      </c>
      <c r="AD14" s="664">
        <f>+I14/'[1]1-COSTO X KM'!I14-1</f>
        <v>0.32356718260390438</v>
      </c>
      <c r="AE14" s="665">
        <f>+J14/'[1]1-COSTO X KM'!J14-1</f>
        <v>0.36065281251536385</v>
      </c>
      <c r="AF14" s="676" t="str">
        <f t="shared" si="1"/>
        <v>7. SEGURO DEL VEHÍCULO</v>
      </c>
      <c r="AG14" s="677">
        <f>+B14/'[2]1-COSTO X KM'!B14-1</f>
        <v>0.18592011569810518</v>
      </c>
      <c r="AH14" s="678">
        <f>+C14/'[2]1-COSTO X KM'!C14-1</f>
        <v>0.23271892411335893</v>
      </c>
      <c r="AI14" s="678">
        <f>+D14/'[2]1-COSTO X KM'!D14-1</f>
        <v>0.24586092921812952</v>
      </c>
      <c r="AJ14" s="678">
        <f>+E14/'[2]1-COSTO X KM'!E14-1</f>
        <v>0.18078277402608789</v>
      </c>
      <c r="AK14" s="678">
        <f>+F14/'[2]1-COSTO X KM'!F14-1</f>
        <v>0.36244767490485552</v>
      </c>
      <c r="AL14" s="678">
        <f>+G14/'[2]1-COSTO X KM'!G14-1</f>
        <v>0.2417412011062805</v>
      </c>
      <c r="AM14" s="678">
        <f>+H14/'[2]1-COSTO X KM'!H14-1</f>
        <v>0.32322723543340004</v>
      </c>
      <c r="AN14" s="678">
        <f>+I14/'[2]1-COSTO X KM'!I14-1</f>
        <v>0.2568076526606422</v>
      </c>
      <c r="AO14" s="679">
        <f>+J14/'[2]1-COSTO X KM'!J14-1</f>
        <v>0.29816116125686398</v>
      </c>
    </row>
    <row r="15" spans="1:41" ht="12.45" customHeight="1" x14ac:dyDescent="0.25">
      <c r="A15" s="314" t="s">
        <v>155</v>
      </c>
      <c r="B15" s="309">
        <f>+'5-PRECIOS SIN IVA'!B27/'2- EMP. REP'!B8</f>
        <v>78.828085751384123</v>
      </c>
      <c r="C15" s="309">
        <f>+'5-PRECIOS SIN IVA'!C27/'2- EMP. REP'!C8</f>
        <v>72.575363123523942</v>
      </c>
      <c r="D15" s="309">
        <f>+'5-PRECIOS SIN IVA'!D27/'2- EMP. REP'!D8</f>
        <v>55.010486856274909</v>
      </c>
      <c r="E15" s="309">
        <f>+'5-PRECIOS SIN IVA'!E27/'2- EMP. REP'!E8</f>
        <v>36.26007421102058</v>
      </c>
      <c r="F15" s="309">
        <f>+'5-PRECIOS SIN IVA'!F27/'2- EMP. REP'!F8</f>
        <v>48.212866616976662</v>
      </c>
      <c r="G15" s="309">
        <f>+'5-PRECIOS SIN IVA'!G27/'2- EMP. REP'!G8</f>
        <v>64.977701547906619</v>
      </c>
      <c r="H15" s="309">
        <f>+'5-PRECIOS SIN IVA'!H27/'2- EMP. REP'!H8</f>
        <v>47.711568884585269</v>
      </c>
      <c r="I15" s="309">
        <f>+'5-PRECIOS SIN IVA'!I27/'2- EMP. REP'!I8</f>
        <v>70.187008835811923</v>
      </c>
      <c r="J15" s="315">
        <f>+'5-PRECIOS SIN IVA'!J27/'2- EMP. REP'!J8</f>
        <v>65.210322435439068</v>
      </c>
      <c r="K15" s="594"/>
      <c r="L15" s="632" t="str">
        <f t="shared" si="2"/>
        <v>. Responsabilidad civil</v>
      </c>
      <c r="M15" s="628"/>
      <c r="N15" s="619"/>
      <c r="O15" s="619"/>
      <c r="P15" s="619"/>
      <c r="Q15" s="619"/>
      <c r="R15" s="619"/>
      <c r="S15" s="619"/>
      <c r="T15" s="619"/>
      <c r="U15" s="622"/>
      <c r="V15" s="632" t="str">
        <f t="shared" si="0"/>
        <v>. Responsabilidad civil</v>
      </c>
      <c r="W15" s="628"/>
      <c r="X15" s="619"/>
      <c r="Y15" s="619"/>
      <c r="Z15" s="619"/>
      <c r="AA15" s="619"/>
      <c r="AB15" s="619"/>
      <c r="AC15" s="619"/>
      <c r="AD15" s="619"/>
      <c r="AE15" s="622"/>
      <c r="AF15" s="632" t="str">
        <f t="shared" si="1"/>
        <v>. Responsabilidad civil</v>
      </c>
      <c r="AG15" s="628"/>
      <c r="AH15" s="619"/>
      <c r="AI15" s="619"/>
      <c r="AJ15" s="619"/>
      <c r="AK15" s="619"/>
      <c r="AL15" s="619"/>
      <c r="AM15" s="619"/>
      <c r="AN15" s="619"/>
      <c r="AO15" s="622"/>
    </row>
    <row r="16" spans="1:41" ht="12.45" customHeight="1" x14ac:dyDescent="0.25">
      <c r="A16" s="314" t="s">
        <v>156</v>
      </c>
      <c r="B16" s="309">
        <f>+'5-PRECIOS SIN IVA'!B29/'2- EMP. REP'!B8</f>
        <v>78.828085751384123</v>
      </c>
      <c r="C16" s="309">
        <f>+'5-PRECIOS SIN IVA'!C29/'2- EMP. REP'!C8</f>
        <v>72.575363123523942</v>
      </c>
      <c r="D16" s="309">
        <f>+'5-PRECIOS SIN IVA'!D29/'2- EMP. REP'!D8</f>
        <v>55.010486856274909</v>
      </c>
      <c r="E16" s="309">
        <f>+'5-PRECIOS SIN IVA'!E29/'2- EMP. REP'!E8</f>
        <v>36.26007421102058</v>
      </c>
      <c r="F16" s="309">
        <f>+'5-PRECIOS SIN IVA'!F29/'2- EMP. REP'!F8</f>
        <v>48.212866616976662</v>
      </c>
      <c r="G16" s="309">
        <f>+'5-PRECIOS SIN IVA'!G29/'2- EMP. REP'!G8</f>
        <v>64.977701547906619</v>
      </c>
      <c r="H16" s="309">
        <f>+'5-PRECIOS SIN IVA'!H29/'2- EMP. REP'!H8</f>
        <v>47.711568884585269</v>
      </c>
      <c r="I16" s="309">
        <f>+'5-PRECIOS SIN IVA'!I29/'2- EMP. REP'!I8</f>
        <v>70.187008835811923</v>
      </c>
      <c r="J16" s="315">
        <f>+'5-PRECIOS SIN IVA'!J29/'2- EMP. REP'!J8</f>
        <v>65.210322435439068</v>
      </c>
      <c r="K16" s="594"/>
      <c r="L16" s="632" t="str">
        <f t="shared" si="2"/>
        <v>. Costo de Franquicia</v>
      </c>
      <c r="M16" s="628"/>
      <c r="N16" s="619"/>
      <c r="O16" s="619"/>
      <c r="P16" s="619"/>
      <c r="Q16" s="619"/>
      <c r="R16" s="619"/>
      <c r="S16" s="619"/>
      <c r="T16" s="619"/>
      <c r="U16" s="622"/>
      <c r="V16" s="632" t="str">
        <f t="shared" si="0"/>
        <v>. Costo de Franquicia</v>
      </c>
      <c r="W16" s="628"/>
      <c r="X16" s="619"/>
      <c r="Y16" s="619"/>
      <c r="Z16" s="619"/>
      <c r="AA16" s="619"/>
      <c r="AB16" s="619"/>
      <c r="AC16" s="619"/>
      <c r="AD16" s="619"/>
      <c r="AE16" s="622"/>
      <c r="AF16" s="632" t="str">
        <f t="shared" si="1"/>
        <v>. Costo de Franquicia</v>
      </c>
      <c r="AG16" s="628"/>
      <c r="AH16" s="619"/>
      <c r="AI16" s="619"/>
      <c r="AJ16" s="619"/>
      <c r="AK16" s="619"/>
      <c r="AL16" s="619"/>
      <c r="AM16" s="619"/>
      <c r="AN16" s="619"/>
      <c r="AO16" s="622"/>
    </row>
    <row r="17" spans="1:41" ht="12.45" customHeight="1" x14ac:dyDescent="0.25">
      <c r="A17" s="314" t="s">
        <v>157</v>
      </c>
      <c r="B17" s="309">
        <f>+'5-PRECIOS SIN IVA'!B34/'2- EMP. REP'!B8</f>
        <v>34.663590795965511</v>
      </c>
      <c r="C17" s="309">
        <f>+'5-PRECIOS SIN IVA'!C34/'2- EMP. REP'!C8</f>
        <v>31.914040093739896</v>
      </c>
      <c r="D17" s="309">
        <f>+'5-PRECIOS SIN IVA'!D34/'2- EMP. REP'!D8</f>
        <v>24.190121930485553</v>
      </c>
      <c r="E17" s="309">
        <f>+'5-PRECIOS SIN IVA'!E34/'2- EMP. REP'!E8</f>
        <v>20.575859680092364</v>
      </c>
      <c r="F17" s="309">
        <f>+'5-PRECIOS SIN IVA'!F34/'2- EMP. REP'!F8</f>
        <v>21.200959830259489</v>
      </c>
      <c r="G17" s="309">
        <f>+'5-PRECIOS SIN IVA'!G34/'2- EMP. REP'!G8</f>
        <v>28.573070573129595</v>
      </c>
      <c r="H17" s="309">
        <f>+'5-PRECIOS SIN IVA'!H34/'2- EMP. REP'!H8</f>
        <v>20.980520892830953</v>
      </c>
      <c r="I17" s="309">
        <f>+'5-PRECIOS SIN IVA'!I34/'2- EMP. REP'!I8</f>
        <v>26.716743353358947</v>
      </c>
      <c r="J17" s="315">
        <f>+'5-PRECIOS SIN IVA'!J34/'2- EMP. REP'!J8</f>
        <v>24.822363531304582</v>
      </c>
      <c r="K17" s="594"/>
      <c r="L17" s="632" t="str">
        <f t="shared" si="2"/>
        <v>. Chasis</v>
      </c>
      <c r="M17" s="628"/>
      <c r="N17" s="619"/>
      <c r="O17" s="619"/>
      <c r="P17" s="619"/>
      <c r="Q17" s="619"/>
      <c r="R17" s="619"/>
      <c r="S17" s="619"/>
      <c r="T17" s="619"/>
      <c r="U17" s="622"/>
      <c r="V17" s="632" t="str">
        <f t="shared" si="0"/>
        <v>. Chasis</v>
      </c>
      <c r="W17" s="628"/>
      <c r="X17" s="619"/>
      <c r="Y17" s="619"/>
      <c r="Z17" s="619"/>
      <c r="AA17" s="619"/>
      <c r="AB17" s="619"/>
      <c r="AC17" s="619"/>
      <c r="AD17" s="619"/>
      <c r="AE17" s="622"/>
      <c r="AF17" s="632" t="str">
        <f t="shared" si="1"/>
        <v>. Chasis</v>
      </c>
      <c r="AG17" s="628"/>
      <c r="AH17" s="619"/>
      <c r="AI17" s="619"/>
      <c r="AJ17" s="619"/>
      <c r="AK17" s="619"/>
      <c r="AL17" s="619"/>
      <c r="AM17" s="619"/>
      <c r="AN17" s="619"/>
      <c r="AO17" s="622"/>
    </row>
    <row r="18" spans="1:41" ht="12.45" customHeight="1" x14ac:dyDescent="0.25">
      <c r="A18" s="314" t="s">
        <v>153</v>
      </c>
      <c r="B18" s="309">
        <f>+'5-PRECIOS SIN IVA'!B35/'2- EMP. REP'!B8</f>
        <v>15.065404515334221</v>
      </c>
      <c r="C18" s="309">
        <f>+'5-PRECIOS SIN IVA'!C35/'2- EMP. REP'!C8</f>
        <v>13.870401556515787</v>
      </c>
      <c r="D18" s="309">
        <f>+'5-PRECIOS SIN IVA'!D35/'2- EMP. REP'!D8</f>
        <v>10.513451255039589</v>
      </c>
      <c r="E18" s="309">
        <f>+'5-PRECIOS SIN IVA'!E35/'2- EMP. REP'!E8</f>
        <v>11.227634295808093</v>
      </c>
      <c r="F18" s="309">
        <f>+'5-PRECIOS SIN IVA'!F35/'2- EMP. REP'!F8</f>
        <v>9.2143089801702178</v>
      </c>
      <c r="G18" s="309">
        <f>+'5-PRECIOS SIN IVA'!G35/'2- EMP. REP'!G8</f>
        <v>12.418357606491583</v>
      </c>
      <c r="H18" s="309">
        <f>+'5-PRECIOS SIN IVA'!H35/'2- EMP. REP'!H8</f>
        <v>9.1185023517444677</v>
      </c>
      <c r="I18" s="309">
        <f>+'5-PRECIOS SIN IVA'!I35/'2- EMP. REP'!I8</f>
        <v>11.605557262945986</v>
      </c>
      <c r="J18" s="315">
        <f>+'5-PRECIOS SIN IVA'!J35/'2- EMP. REP'!J8</f>
        <v>10.782652569367109</v>
      </c>
      <c r="K18" s="594"/>
      <c r="L18" s="632" t="str">
        <f t="shared" si="2"/>
        <v>. Carrocería</v>
      </c>
      <c r="M18" s="628"/>
      <c r="N18" s="619"/>
      <c r="O18" s="619"/>
      <c r="P18" s="619"/>
      <c r="Q18" s="619"/>
      <c r="R18" s="619"/>
      <c r="S18" s="619"/>
      <c r="T18" s="619"/>
      <c r="U18" s="622"/>
      <c r="V18" s="632" t="str">
        <f t="shared" si="0"/>
        <v>. Carrocería</v>
      </c>
      <c r="W18" s="628"/>
      <c r="X18" s="619"/>
      <c r="Y18" s="619"/>
      <c r="Z18" s="619"/>
      <c r="AA18" s="619"/>
      <c r="AB18" s="619"/>
      <c r="AC18" s="619"/>
      <c r="AD18" s="619"/>
      <c r="AE18" s="622"/>
      <c r="AF18" s="632" t="str">
        <f t="shared" si="1"/>
        <v>. Carrocería</v>
      </c>
      <c r="AG18" s="628"/>
      <c r="AH18" s="619"/>
      <c r="AI18" s="619"/>
      <c r="AJ18" s="619"/>
      <c r="AK18" s="619"/>
      <c r="AL18" s="619"/>
      <c r="AM18" s="619"/>
      <c r="AN18" s="619"/>
      <c r="AO18" s="622"/>
    </row>
    <row r="19" spans="1:41" ht="12.45" customHeight="1" x14ac:dyDescent="0.25">
      <c r="A19" s="319" t="s">
        <v>158</v>
      </c>
      <c r="B19" s="163">
        <f>+('5-PRECIOS SIN IVA'!B36+'5-PRECIOS SIN IVA'!B37)/'2- EMP. REP'!B8</f>
        <v>1.0760855623539156</v>
      </c>
      <c r="C19" s="163">
        <f>+('5-PRECIOS SIN IVA'!C36+'5-PRECIOS SIN IVA'!C37)/'2- EMP. REP'!C8</f>
        <v>1.033129935914465</v>
      </c>
      <c r="D19" s="163">
        <f>+('5-PRECIOS SIN IVA'!D36+'5-PRECIOS SIN IVA'!D37)/'2- EMP. REP'!D8</f>
        <v>0.78308916847879284</v>
      </c>
      <c r="E19" s="163">
        <f>+('5-PRECIOS SIN IVA'!E36+'5-PRECIOS SIN IVA'!E37)/'2- EMP. REP'!E8</f>
        <v>0.5161719698477546</v>
      </c>
      <c r="F19" s="163">
        <f>+('5-PRECIOS SIN IVA'!F36+'5-PRECIOS SIN IVA'!F37)/'2- EMP. REP'!F8</f>
        <v>0.68632320465930563</v>
      </c>
      <c r="G19" s="163">
        <f>+('5-PRECIOS SIN IVA'!G36+'5-PRECIOS SIN IVA'!G37)/'2- EMP. REP'!G8</f>
        <v>3.1067929412094509E-2</v>
      </c>
      <c r="H19" s="163">
        <f>+('5-PRECIOS SIN IVA'!H36+'5-PRECIOS SIN IVA'!H37)/'2- EMP. REP'!H8</f>
        <v>2.2812435942408848E-2</v>
      </c>
      <c r="I19" s="163">
        <f>+('5-PRECIOS SIN IVA'!I36+'5-PRECIOS SIN IVA'!I37)/'2- EMP. REP'!I8</f>
        <v>3.3558666807402784E-2</v>
      </c>
      <c r="J19" s="704">
        <f>+('5-PRECIOS SIN IVA'!J36+'5-PRECIOS SIN IVA'!J37)/'2- EMP. REP'!J8</f>
        <v>3.117915294172811E-2</v>
      </c>
      <c r="K19" s="594"/>
      <c r="L19" s="641" t="str">
        <f t="shared" si="2"/>
        <v>8. PATENTES Y TNFT</v>
      </c>
      <c r="M19" s="642">
        <f t="shared" si="17"/>
        <v>2.7764445707575736E-4</v>
      </c>
      <c r="N19" s="643">
        <f t="shared" si="18"/>
        <v>2.984482389636923E-4</v>
      </c>
      <c r="O19" s="643">
        <f t="shared" si="19"/>
        <v>2.80855140669324E-4</v>
      </c>
      <c r="P19" s="643">
        <f t="shared" si="20"/>
        <v>2.1944199751822071E-4</v>
      </c>
      <c r="Q19" s="643">
        <f t="shared" si="21"/>
        <v>2.8872296488898825E-4</v>
      </c>
      <c r="R19" s="643">
        <f t="shared" si="22"/>
        <v>1.0094313348445026E-5</v>
      </c>
      <c r="S19" s="643">
        <f t="shared" si="23"/>
        <v>9.2167856871442013E-6</v>
      </c>
      <c r="T19" s="643">
        <f t="shared" si="24"/>
        <v>1.0795475674321654E-5</v>
      </c>
      <c r="U19" s="644">
        <f t="shared" si="25"/>
        <v>1.0584879409144723E-5</v>
      </c>
      <c r="V19" s="660" t="str">
        <f t="shared" si="0"/>
        <v>8. PATENTES Y TNFT</v>
      </c>
      <c r="W19" s="663">
        <f>+B19/'[1]1-COSTO X KM'!B19-1</f>
        <v>-3.6461882217040165E-2</v>
      </c>
      <c r="X19" s="664">
        <f>+C19/'[1]1-COSTO X KM'!C19-1</f>
        <v>0.13691239964195989</v>
      </c>
      <c r="Y19" s="664">
        <f>+D19/'[1]1-COSTO X KM'!D19-1</f>
        <v>0.14591104629999752</v>
      </c>
      <c r="Z19" s="664">
        <f>+E19/'[1]1-COSTO X KM'!E19-1</f>
        <v>6.668726900713895E-2</v>
      </c>
      <c r="AA19" s="664">
        <f>+F19/'[1]1-COSTO X KM'!F19-1</f>
        <v>0.23268773937170506</v>
      </c>
      <c r="AB19" s="664">
        <f>+G19/'[1]1-COSTO X KM'!G19-1</f>
        <v>1.464216799789142E-4</v>
      </c>
      <c r="AC19" s="664">
        <f>+H19/'[1]1-COSTO X KM'!H19-1</f>
        <v>0.10480641426277471</v>
      </c>
      <c r="AD19" s="664">
        <f>+I19/'[1]1-COSTO X KM'!I19-1</f>
        <v>1.6593738149067949E-2</v>
      </c>
      <c r="AE19" s="665">
        <f>+J19/'[1]1-COSTO X KM'!J19-1</f>
        <v>4.5078139725973854E-2</v>
      </c>
      <c r="AF19" s="676" t="str">
        <f t="shared" si="1"/>
        <v>8. PATENTES Y TNFT</v>
      </c>
      <c r="AG19" s="677">
        <f>+B19/'[2]1-COSTO X KM'!B19-1</f>
        <v>-4.3819941527798556E-2</v>
      </c>
      <c r="AH19" s="678">
        <f>+C19/'[2]1-COSTO X KM'!C19-1</f>
        <v>-6.0871408318720066E-3</v>
      </c>
      <c r="AI19" s="678">
        <f>+D19/'[2]1-COSTO X KM'!D19-1</f>
        <v>4.5089550123444955E-3</v>
      </c>
      <c r="AJ19" s="678">
        <f>+E19/'[2]1-COSTO X KM'!E19-1</f>
        <v>-5.657924551553184E-2</v>
      </c>
      <c r="AK19" s="678">
        <f>+F19/'[2]1-COSTO X KM'!F19-1</f>
        <v>9.8510161191560641E-2</v>
      </c>
      <c r="AL19" s="678">
        <f>+G19/'[2]1-COSTO X KM'!G19-1</f>
        <v>1.1873131793629366E-3</v>
      </c>
      <c r="AM19" s="678">
        <f>+H19/'[2]1-COSTO X KM'!H19-1</f>
        <v>6.6887624723287908E-2</v>
      </c>
      <c r="AN19" s="678">
        <f>+I19/'[2]1-COSTO X KM'!I19-1</f>
        <v>1.6906600885601586E-2</v>
      </c>
      <c r="AO19" s="679">
        <f>+J19/'[2]1-COSTO X KM'!J19-1</f>
        <v>5.0366498883718247E-2</v>
      </c>
    </row>
    <row r="20" spans="1:41" ht="12.45" customHeight="1" x14ac:dyDescent="0.25">
      <c r="A20" s="319" t="s">
        <v>159</v>
      </c>
      <c r="B20" s="567">
        <f t="shared" ref="B20:J20" si="26">SUM(B21:B24)</f>
        <v>1581.0802021166592</v>
      </c>
      <c r="C20" s="567">
        <f t="shared" si="26"/>
        <v>1488.4229550715002</v>
      </c>
      <c r="D20" s="567">
        <f t="shared" si="26"/>
        <v>1123.2204368126736</v>
      </c>
      <c r="E20" s="567">
        <f t="shared" si="26"/>
        <v>779.24118543391421</v>
      </c>
      <c r="F20" s="567">
        <f t="shared" si="26"/>
        <v>1003.7772172685984</v>
      </c>
      <c r="G20" s="567">
        <f t="shared" si="26"/>
        <v>1339.1591189609719</v>
      </c>
      <c r="H20" s="567">
        <f t="shared" si="26"/>
        <v>984.75196241098934</v>
      </c>
      <c r="I20" s="567">
        <f t="shared" si="26"/>
        <v>1402.7350853914286</v>
      </c>
      <c r="J20" s="706">
        <f t="shared" si="26"/>
        <v>1307.2370111646514</v>
      </c>
      <c r="K20" s="594"/>
      <c r="L20" s="641" t="str">
        <f t="shared" si="2"/>
        <v>9. SALARIOS DEL PERSONAL</v>
      </c>
      <c r="M20" s="642">
        <f t="shared" si="17"/>
        <v>0.40793982343713697</v>
      </c>
      <c r="N20" s="643">
        <f t="shared" si="18"/>
        <v>0.42997225647229892</v>
      </c>
      <c r="O20" s="643">
        <f t="shared" si="19"/>
        <v>0.40284331144113655</v>
      </c>
      <c r="P20" s="643">
        <f t="shared" si="20"/>
        <v>0.33128153458336851</v>
      </c>
      <c r="Q20" s="643">
        <f t="shared" si="21"/>
        <v>0.42226975904402475</v>
      </c>
      <c r="R20" s="643">
        <f t="shared" si="22"/>
        <v>0.4351075860548726</v>
      </c>
      <c r="S20" s="643">
        <f t="shared" si="23"/>
        <v>0.39786403413691634</v>
      </c>
      <c r="T20" s="643">
        <f t="shared" si="24"/>
        <v>0.4512453542558551</v>
      </c>
      <c r="U20" s="644">
        <f t="shared" si="25"/>
        <v>0.44378839117948449</v>
      </c>
      <c r="V20" s="660" t="str">
        <f t="shared" si="0"/>
        <v>9. SALARIOS DEL PERSONAL</v>
      </c>
      <c r="W20" s="663">
        <f>+B20/'[1]1-COSTO X KM'!B20-1</f>
        <v>0.30076050147421607</v>
      </c>
      <c r="X20" s="664">
        <f>+C20/'[1]1-COSTO X KM'!C20-1</f>
        <v>0.4991352789729504</v>
      </c>
      <c r="Y20" s="664">
        <f>+D20/'[1]1-COSTO X KM'!D20-1</f>
        <v>0.52387196752219523</v>
      </c>
      <c r="Z20" s="664">
        <f>+E20/'[1]1-COSTO X KM'!E20-1</f>
        <v>0.39501738893620142</v>
      </c>
      <c r="AA20" s="664">
        <f>+F20/'[1]1-COSTO X KM'!F20-1</f>
        <v>0.5024466236796743</v>
      </c>
      <c r="AB20" s="664">
        <f>+G20/'[1]1-COSTO X KM'!G20-1</f>
        <v>0.34080502558132286</v>
      </c>
      <c r="AC20" s="664">
        <f>+H20/'[1]1-COSTO X KM'!H20-1</f>
        <v>0.47708753596541742</v>
      </c>
      <c r="AD20" s="664">
        <f>+I20/'[1]1-COSTO X KM'!I20-1</f>
        <v>0.31139156468840312</v>
      </c>
      <c r="AE20" s="665">
        <f>+J20/'[1]1-COSTO X KM'!J20-1</f>
        <v>0.40270603300594221</v>
      </c>
      <c r="AF20" s="676" t="str">
        <f t="shared" si="1"/>
        <v>9. SALARIOS DEL PERSONAL</v>
      </c>
      <c r="AG20" s="677">
        <f>+B20/'[2]1-COSTO X KM'!B20-1</f>
        <v>0.15009329324670362</v>
      </c>
      <c r="AH20" s="678">
        <f>+C20/'[2]1-COSTO X KM'!C20-1</f>
        <v>0.18853241878218885</v>
      </c>
      <c r="AI20" s="678">
        <f>+D20/'[2]1-COSTO X KM'!D20-1</f>
        <v>0.2039211532648586</v>
      </c>
      <c r="AJ20" s="678">
        <f>+E20/'[2]1-COSTO X KM'!E20-1</f>
        <v>0.13125899614006009</v>
      </c>
      <c r="AK20" s="678">
        <f>+F20/'[2]1-COSTO X KM'!F20-1</f>
        <v>0.31289275895815094</v>
      </c>
      <c r="AL20" s="678">
        <f>+G20/'[2]1-COSTO X KM'!G20-1</f>
        <v>0.19707300396514649</v>
      </c>
      <c r="AM20" s="678">
        <f>+H20/'[2]1-COSTO X KM'!H20-1</f>
        <v>0.27519254405989213</v>
      </c>
      <c r="AN20" s="678">
        <f>+I20/'[2]1-COSTO X KM'!I20-1</f>
        <v>0.19587004293931343</v>
      </c>
      <c r="AO20" s="679">
        <f>+J20/'[2]1-COSTO X KM'!J20-1</f>
        <v>0.25576394800649105</v>
      </c>
    </row>
    <row r="21" spans="1:41" ht="12.45" customHeight="1" x14ac:dyDescent="0.25">
      <c r="A21" s="314" t="s">
        <v>160</v>
      </c>
      <c r="B21" s="309">
        <f>+'4- PERSONAL'!B138/'2- EMP. REP'!B8</f>
        <v>1279.4082513852288</v>
      </c>
      <c r="C21" s="309">
        <f>+'4- PERSONAL'!C138/'2- EMP. REP'!C8</f>
        <v>1207.4800956161091</v>
      </c>
      <c r="D21" s="309">
        <f>+'4- PERSONAL'!D138/'2- EMP. REP'!D8</f>
        <v>910.27209164034753</v>
      </c>
      <c r="E21" s="309">
        <f>+'4- PERSONAL'!E138/'2- EMP. REP'!E8</f>
        <v>625.69666469942797</v>
      </c>
      <c r="F21" s="309">
        <f>+'4- PERSONAL'!F138/'2- EMP. REP'!F8</f>
        <v>817.14279992698675</v>
      </c>
      <c r="G21" s="309">
        <f>+'4- PERSONAL'!G138/'2- EMP. REP'!G8</f>
        <v>1087.6272486064938</v>
      </c>
      <c r="H21" s="309">
        <f>+'4- PERSONAL'!H138/'2- EMP. REP'!H8</f>
        <v>800.05813863456365</v>
      </c>
      <c r="I21" s="309">
        <f>+'4- PERSONAL'!I138/'2- EMP. REP'!I8</f>
        <v>1134.1254798479883</v>
      </c>
      <c r="J21" s="707">
        <f>+'4- PERSONAL'!J138/'2- EMP. REP'!J8</f>
        <v>1057.6734626208006</v>
      </c>
      <c r="K21" s="594"/>
      <c r="L21" s="632" t="str">
        <f t="shared" si="2"/>
        <v>Personal de conducción</v>
      </c>
      <c r="M21" s="628"/>
      <c r="N21" s="619"/>
      <c r="O21" s="619"/>
      <c r="P21" s="619"/>
      <c r="Q21" s="619"/>
      <c r="R21" s="619"/>
      <c r="S21" s="619"/>
      <c r="T21" s="619"/>
      <c r="U21" s="622"/>
      <c r="V21" s="632" t="str">
        <f t="shared" si="0"/>
        <v>Personal de conducción</v>
      </c>
      <c r="W21" s="628"/>
      <c r="X21" s="619"/>
      <c r="Y21" s="619"/>
      <c r="Z21" s="619"/>
      <c r="AA21" s="619"/>
      <c r="AB21" s="619"/>
      <c r="AC21" s="619"/>
      <c r="AD21" s="619"/>
      <c r="AE21" s="622"/>
      <c r="AF21" s="632" t="str">
        <f t="shared" si="1"/>
        <v>Personal de conducción</v>
      </c>
      <c r="AG21" s="628"/>
      <c r="AH21" s="619"/>
      <c r="AI21" s="619"/>
      <c r="AJ21" s="619"/>
      <c r="AK21" s="619"/>
      <c r="AL21" s="619"/>
      <c r="AM21" s="619"/>
      <c r="AN21" s="619"/>
      <c r="AO21" s="622"/>
    </row>
    <row r="22" spans="1:41" ht="12.45" customHeight="1" x14ac:dyDescent="0.25">
      <c r="A22" s="314" t="s">
        <v>161</v>
      </c>
      <c r="B22" s="309">
        <f>+'4- PERSONAL'!B139/'2- EMP. REP'!B8</f>
        <v>110.86749368127586</v>
      </c>
      <c r="C22" s="309">
        <f>+'4- PERSONAL'!C139/'2- EMP. REP'!C8</f>
        <v>90.100612456674227</v>
      </c>
      <c r="D22" s="309">
        <f>+'4- PERSONAL'!D139/'2- EMP. REP'!D8</f>
        <v>68.294230217687286</v>
      </c>
      <c r="E22" s="309">
        <f>+'4- PERSONAL'!E139/'2- EMP. REP'!E8</f>
        <v>49.242950606324584</v>
      </c>
      <c r="F22" s="309">
        <f>+'4- PERSONAL'!F139/'2- EMP. REP'!F8</f>
        <v>59.855143998218743</v>
      </c>
      <c r="G22" s="309">
        <f>+'4- PERSONAL'!G139/'2- EMP. REP'!G8</f>
        <v>80.668293667768623</v>
      </c>
      <c r="H22" s="309">
        <f>+'4- PERSONAL'!H139/'2- EMP. REP'!H8</f>
        <v>59.232794611764682</v>
      </c>
      <c r="I22" s="309">
        <f>+'4- PERSONAL'!I139/'2- EMP. REP'!I8</f>
        <v>98.716807863865355</v>
      </c>
      <c r="J22" s="707">
        <f>+'4- PERSONAL'!J139/'2- EMP. REP'!J8</f>
        <v>91.717184951688353</v>
      </c>
      <c r="K22" s="594"/>
      <c r="L22" s="632" t="str">
        <f t="shared" si="2"/>
        <v>Personal de tráfico</v>
      </c>
      <c r="M22" s="628"/>
      <c r="N22" s="619"/>
      <c r="O22" s="619"/>
      <c r="P22" s="619"/>
      <c r="Q22" s="619"/>
      <c r="R22" s="619"/>
      <c r="S22" s="619"/>
      <c r="T22" s="619"/>
      <c r="U22" s="622"/>
      <c r="V22" s="632" t="str">
        <f t="shared" si="0"/>
        <v>Personal de tráfico</v>
      </c>
      <c r="W22" s="628"/>
      <c r="X22" s="619"/>
      <c r="Y22" s="619"/>
      <c r="Z22" s="619"/>
      <c r="AA22" s="619"/>
      <c r="AB22" s="619"/>
      <c r="AC22" s="619"/>
      <c r="AD22" s="619"/>
      <c r="AE22" s="622"/>
      <c r="AF22" s="632" t="str">
        <f t="shared" si="1"/>
        <v>Personal de tráfico</v>
      </c>
      <c r="AG22" s="628"/>
      <c r="AH22" s="619"/>
      <c r="AI22" s="619"/>
      <c r="AJ22" s="619"/>
      <c r="AK22" s="619"/>
      <c r="AL22" s="619"/>
      <c r="AM22" s="619"/>
      <c r="AN22" s="619"/>
      <c r="AO22" s="622"/>
    </row>
    <row r="23" spans="1:41" ht="12.45" customHeight="1" x14ac:dyDescent="0.25">
      <c r="A23" s="314" t="s">
        <v>162</v>
      </c>
      <c r="B23" s="309">
        <f>+'4- PERSONAL'!B140/'2- EMP. REP'!B8</f>
        <v>120.22468208012498</v>
      </c>
      <c r="C23" s="309">
        <f>+'4- PERSONAL'!C140/'2- EMP. REP'!C8</f>
        <v>122.071697974293</v>
      </c>
      <c r="D23" s="309">
        <f>+'4- PERSONAL'!D140/'2- EMP. REP'!D8</f>
        <v>92.527591291670603</v>
      </c>
      <c r="E23" s="309">
        <f>+'4- PERSONAL'!E140/'2- EMP. REP'!E8</f>
        <v>66.716201319372828</v>
      </c>
      <c r="F23" s="309">
        <f>+'4- PERSONAL'!F140/'2- EMP. REP'!F8</f>
        <v>81.093999931152922</v>
      </c>
      <c r="G23" s="309">
        <f>+'4- PERSONAL'!G140/'2- EMP. REP'!G8</f>
        <v>109.29240154524085</v>
      </c>
      <c r="H23" s="309">
        <f>+'4- PERSONAL'!H140/'2- EMP. REP'!H8</f>
        <v>80.250790973930776</v>
      </c>
      <c r="I23" s="309">
        <f>+'4- PERSONAL'!I140/'2- EMP. REP'!I8</f>
        <v>107.04846324320694</v>
      </c>
      <c r="J23" s="707">
        <f>+'4- PERSONAL'!J140/'2- EMP. REP'!J8</f>
        <v>99.458075220695065</v>
      </c>
      <c r="K23" s="594"/>
      <c r="L23" s="632" t="str">
        <f t="shared" si="2"/>
        <v>Personal de mantenimiento</v>
      </c>
      <c r="M23" s="628"/>
      <c r="N23" s="619"/>
      <c r="O23" s="619"/>
      <c r="P23" s="619"/>
      <c r="Q23" s="619"/>
      <c r="R23" s="619"/>
      <c r="S23" s="619"/>
      <c r="T23" s="619"/>
      <c r="U23" s="622"/>
      <c r="V23" s="632" t="str">
        <f t="shared" si="0"/>
        <v>Personal de mantenimiento</v>
      </c>
      <c r="W23" s="628"/>
      <c r="X23" s="619"/>
      <c r="Y23" s="619"/>
      <c r="Z23" s="619"/>
      <c r="AA23" s="619"/>
      <c r="AB23" s="619"/>
      <c r="AC23" s="619"/>
      <c r="AD23" s="619"/>
      <c r="AE23" s="622"/>
      <c r="AF23" s="632" t="str">
        <f t="shared" si="1"/>
        <v>Personal de mantenimiento</v>
      </c>
      <c r="AG23" s="628"/>
      <c r="AH23" s="619"/>
      <c r="AI23" s="619"/>
      <c r="AJ23" s="619"/>
      <c r="AK23" s="619"/>
      <c r="AL23" s="619"/>
      <c r="AM23" s="619"/>
      <c r="AN23" s="619"/>
      <c r="AO23" s="622"/>
    </row>
    <row r="24" spans="1:41" ht="12.45" customHeight="1" x14ac:dyDescent="0.25">
      <c r="A24" s="314" t="s">
        <v>163</v>
      </c>
      <c r="B24" s="309">
        <f>+'4- PERSONAL'!B141/'2- EMP. REP'!B8</f>
        <v>70.579774970029547</v>
      </c>
      <c r="C24" s="309">
        <f>+'4- PERSONAL'!C141/'2- EMP. REP'!C8</f>
        <v>68.770549024423659</v>
      </c>
      <c r="D24" s="309">
        <f>+'4- PERSONAL'!D141/'2- EMP. REP'!D8</f>
        <v>52.126523662968012</v>
      </c>
      <c r="E24" s="309">
        <f>+'4- PERSONAL'!E141/'2- EMP. REP'!E8</f>
        <v>37.585368808788786</v>
      </c>
      <c r="F24" s="309">
        <f>+'4- PERSONAL'!F141/'2- EMP. REP'!F8</f>
        <v>45.685273412240008</v>
      </c>
      <c r="G24" s="309">
        <f>+'4- PERSONAL'!G141/'2- EMP. REP'!G8</f>
        <v>61.571175141468473</v>
      </c>
      <c r="H24" s="309">
        <f>+'4- PERSONAL'!H141/'2- EMP. REP'!H8</f>
        <v>45.210238190730209</v>
      </c>
      <c r="I24" s="309">
        <f>+'4- PERSONAL'!I141/'2- EMP. REP'!I8</f>
        <v>62.844334436367923</v>
      </c>
      <c r="J24" s="707">
        <f>+'4- PERSONAL'!J141/'2- EMP. REP'!J8</f>
        <v>58.388288371467425</v>
      </c>
      <c r="K24" s="594"/>
      <c r="L24" s="632" t="str">
        <f t="shared" si="2"/>
        <v>Personal de administración</v>
      </c>
      <c r="M24" s="628"/>
      <c r="N24" s="619"/>
      <c r="O24" s="619"/>
      <c r="P24" s="619"/>
      <c r="Q24" s="619"/>
      <c r="R24" s="619"/>
      <c r="S24" s="619"/>
      <c r="T24" s="619"/>
      <c r="U24" s="622"/>
      <c r="V24" s="632" t="str">
        <f t="shared" si="0"/>
        <v>Personal de administración</v>
      </c>
      <c r="W24" s="628"/>
      <c r="X24" s="619"/>
      <c r="Y24" s="619"/>
      <c r="Z24" s="619"/>
      <c r="AA24" s="619"/>
      <c r="AB24" s="619"/>
      <c r="AC24" s="619"/>
      <c r="AD24" s="619"/>
      <c r="AE24" s="622"/>
      <c r="AF24" s="632" t="str">
        <f t="shared" si="1"/>
        <v>Personal de administración</v>
      </c>
      <c r="AG24" s="628"/>
      <c r="AH24" s="619"/>
      <c r="AI24" s="619"/>
      <c r="AJ24" s="619"/>
      <c r="AK24" s="619"/>
      <c r="AL24" s="619"/>
      <c r="AM24" s="619"/>
      <c r="AN24" s="619"/>
      <c r="AO24" s="622"/>
    </row>
    <row r="25" spans="1:41" ht="12.45" customHeight="1" x14ac:dyDescent="0.25">
      <c r="A25" s="319" t="s">
        <v>164</v>
      </c>
      <c r="B25" s="164">
        <f>+'4- PERSONAL'!B132/'2- EMP. REP'!B5</f>
        <v>81.436904033396445</v>
      </c>
      <c r="C25" s="164">
        <f>+'4- PERSONAL'!C132/'2- EMP. REP'!C5</f>
        <v>76.663342872211771</v>
      </c>
      <c r="D25" s="164">
        <f>+'4- PERSONAL'!D132/'2- EMP. REP'!D5</f>
        <v>57.851227936063999</v>
      </c>
      <c r="E25" s="164">
        <f>+'4- PERSONAL'!E132/'2- EMP. REP'!E5</f>
        <v>40.135287802807028</v>
      </c>
      <c r="F25" s="164">
        <f>+'4- PERSONAL'!F132/'2- EMP. REP'!F5</f>
        <v>51.708033784515287</v>
      </c>
      <c r="G25" s="164">
        <f>+'4- PERSONAL'!G132/'2- EMP. REP'!G5</f>
        <v>68.977671817881301</v>
      </c>
      <c r="H25" s="164">
        <f>+'4- PERSONAL'!H132/'2- EMP. REP'!H5</f>
        <v>50.722165665719714</v>
      </c>
      <c r="I25" s="164">
        <f>+'4- PERSONAL'!I132/'2- EMP. REP'!I5</f>
        <v>72.253726327374054</v>
      </c>
      <c r="J25" s="705">
        <f>+'4- PERSONAL'!J132/'2- EMP. REP'!J5</f>
        <v>67.339255385110803</v>
      </c>
      <c r="K25" s="594"/>
      <c r="L25" s="641" t="str">
        <f t="shared" si="2"/>
        <v>10. SEGUROS DEL PERSONAL</v>
      </c>
      <c r="M25" s="642">
        <f t="shared" si="17"/>
        <v>2.1011809652777876E-2</v>
      </c>
      <c r="N25" s="643">
        <f t="shared" si="18"/>
        <v>2.2146333077677483E-2</v>
      </c>
      <c r="O25" s="643">
        <f t="shared" si="19"/>
        <v>2.074835844229455E-2</v>
      </c>
      <c r="P25" s="643">
        <f t="shared" si="20"/>
        <v>1.7062855484024822E-2</v>
      </c>
      <c r="Q25" s="643">
        <f t="shared" si="21"/>
        <v>2.1752574765785758E-2</v>
      </c>
      <c r="R25" s="643">
        <f t="shared" si="22"/>
        <v>2.2411607292529837E-2</v>
      </c>
      <c r="S25" s="643">
        <f t="shared" si="23"/>
        <v>2.0493003540217197E-2</v>
      </c>
      <c r="T25" s="643">
        <f t="shared" si="24"/>
        <v>2.3243275706476985E-2</v>
      </c>
      <c r="U25" s="644">
        <f t="shared" si="25"/>
        <v>2.286072040138918E-2</v>
      </c>
      <c r="V25" s="660" t="str">
        <f t="shared" si="0"/>
        <v>10. SEGUROS DEL PERSONAL</v>
      </c>
      <c r="W25" s="663">
        <f>+B25/'[1]1-COSTO X KM'!B25-1</f>
        <v>0.30083186125290928</v>
      </c>
      <c r="X25" s="664">
        <f>+C25/'[1]1-COSTO X KM'!C25-1</f>
        <v>0.49921980182509418</v>
      </c>
      <c r="Y25" s="664">
        <f>+D25/'[1]1-COSTO X KM'!D25-1</f>
        <v>0.52397326783201459</v>
      </c>
      <c r="Z25" s="664">
        <f>+E25/'[1]1-COSTO X KM'!E25-1</f>
        <v>0.39510681643455325</v>
      </c>
      <c r="AA25" s="664">
        <f>+F25/'[1]1-COSTO X KM'!F25-1</f>
        <v>0.50249582478162647</v>
      </c>
      <c r="AB25" s="664">
        <f>+G25/'[1]1-COSTO X KM'!G25-1</f>
        <v>0.34085948331727711</v>
      </c>
      <c r="AC25" s="664">
        <f>+H25/'[1]1-COSTO X KM'!H25-1</f>
        <v>0.47714530640133401</v>
      </c>
      <c r="AD25" s="664">
        <f>+I25/'[1]1-COSTO X KM'!I25-1</f>
        <v>0.31144184418974974</v>
      </c>
      <c r="AE25" s="665">
        <f>+J25/'[1]1-COSTO X KM'!J25-1</f>
        <v>0.40269892183744593</v>
      </c>
      <c r="AF25" s="676" t="str">
        <f t="shared" si="1"/>
        <v>10. SEGUROS DEL PERSONAL</v>
      </c>
      <c r="AG25" s="677">
        <f>+B25/'[2]1-COSTO X KM'!B25-1</f>
        <v>0.15007523145881074</v>
      </c>
      <c r="AH25" s="678">
        <f>+C25/'[2]1-COSTO X KM'!C25-1</f>
        <v>0.18851930212964363</v>
      </c>
      <c r="AI25" s="678">
        <f>+D25/'[2]1-COSTO X KM'!D25-1</f>
        <v>0.20391549872790993</v>
      </c>
      <c r="AJ25" s="678">
        <f>+E25/'[2]1-COSTO X KM'!E25-1</f>
        <v>0.13125225133261464</v>
      </c>
      <c r="AK25" s="678">
        <f>+F25/'[2]1-COSTO X KM'!F25-1</f>
        <v>0.31284473231391474</v>
      </c>
      <c r="AL25" s="678">
        <f>+G25/'[2]1-COSTO X KM'!G25-1</f>
        <v>0.19704865033378294</v>
      </c>
      <c r="AM25" s="678">
        <f>+H25/'[2]1-COSTO X KM'!H25-1</f>
        <v>0.27516287840619413</v>
      </c>
      <c r="AN25" s="678">
        <f>+I25/'[2]1-COSTO X KM'!I25-1</f>
        <v>0.19584244040270282</v>
      </c>
      <c r="AO25" s="679">
        <f>+J25/'[2]1-COSTO X KM'!J25-1</f>
        <v>0.25569936545543759</v>
      </c>
    </row>
    <row r="26" spans="1:41" ht="12.45" customHeight="1" x14ac:dyDescent="0.25">
      <c r="A26" s="319" t="s">
        <v>165</v>
      </c>
      <c r="B26" s="163">
        <f t="shared" ref="B26:J26" si="27">SUM(B27:B30)</f>
        <v>13.424850992867288</v>
      </c>
      <c r="C26" s="163">
        <f t="shared" si="27"/>
        <v>12.359978380794775</v>
      </c>
      <c r="D26" s="163">
        <f t="shared" si="27"/>
        <v>9.3685845856989864</v>
      </c>
      <c r="E26" s="163">
        <f t="shared" si="27"/>
        <v>7.702773099061293</v>
      </c>
      <c r="F26" s="163">
        <f t="shared" si="27"/>
        <v>7.8764876899741729</v>
      </c>
      <c r="G26" s="163">
        <f t="shared" si="27"/>
        <v>10.615341967338843</v>
      </c>
      <c r="H26" s="163">
        <f t="shared" si="27"/>
        <v>7.7945911819411418</v>
      </c>
      <c r="I26" s="163">
        <f t="shared" si="27"/>
        <v>10.592916931425716</v>
      </c>
      <c r="J26" s="704">
        <f t="shared" si="27"/>
        <v>9.8418146048366477</v>
      </c>
      <c r="K26" s="594"/>
      <c r="L26" s="641" t="str">
        <f t="shared" si="2"/>
        <v>11. MÁQUINAS, HERRAMIENTAS E INMUEBLES</v>
      </c>
      <c r="M26" s="642">
        <f t="shared" si="17"/>
        <v>3.4637909806020527E-3</v>
      </c>
      <c r="N26" s="643">
        <f t="shared" si="18"/>
        <v>3.5705225965719321E-3</v>
      </c>
      <c r="O26" s="643">
        <f t="shared" si="19"/>
        <v>3.3600453787405518E-3</v>
      </c>
      <c r="P26" s="643">
        <f t="shared" si="20"/>
        <v>3.2747069078279951E-3</v>
      </c>
      <c r="Q26" s="643">
        <f t="shared" si="21"/>
        <v>3.313486799400652E-3</v>
      </c>
      <c r="R26" s="643">
        <f t="shared" si="22"/>
        <v>3.4490418301743242E-3</v>
      </c>
      <c r="S26" s="643">
        <f t="shared" si="23"/>
        <v>3.149206714452677E-3</v>
      </c>
      <c r="T26" s="643">
        <f t="shared" si="24"/>
        <v>3.4076317068737171E-3</v>
      </c>
      <c r="U26" s="644">
        <f t="shared" si="25"/>
        <v>3.341156219158703E-3</v>
      </c>
      <c r="V26" s="660" t="str">
        <f t="shared" si="0"/>
        <v>11. MÁQUINAS, HERRAMIENTAS E INMUEBLES</v>
      </c>
      <c r="W26" s="663">
        <f>+B26/'[1]1-COSTO X KM'!B26-1</f>
        <v>0.34462516329132109</v>
      </c>
      <c r="X26" s="664">
        <f>+C26/'[1]1-COSTO X KM'!C26-1</f>
        <v>0.58657036271070262</v>
      </c>
      <c r="Y26" s="664">
        <f>+D26/'[1]1-COSTO X KM'!D26-1</f>
        <v>0.59912804621969085</v>
      </c>
      <c r="Z26" s="664">
        <f>+E26/'[1]1-COSTO X KM'!E26-1</f>
        <v>0.50910412339632938</v>
      </c>
      <c r="AA26" s="664">
        <f>+F26/'[1]1-COSTO X KM'!F26-1</f>
        <v>0.70519828251780758</v>
      </c>
      <c r="AB26" s="664">
        <f>+G26/'[1]1-COSTO X KM'!G26-1</f>
        <v>0.38351985344178852</v>
      </c>
      <c r="AC26" s="664">
        <f>+H26/'[1]1-COSTO X KM'!H26-1</f>
        <v>0.52829783240625283</v>
      </c>
      <c r="AD26" s="664">
        <f>+I26/'[1]1-COSTO X KM'!I26-1</f>
        <v>0.39389830488730371</v>
      </c>
      <c r="AE26" s="665">
        <f>+J26/'[1]1-COSTO X KM'!J26-1</f>
        <v>0.43295457445086449</v>
      </c>
      <c r="AF26" s="676" t="str">
        <f t="shared" si="1"/>
        <v>11. MÁQUINAS, HERRAMIENTAS E INMUEBLES</v>
      </c>
      <c r="AG26" s="677">
        <f>+B26/'[2]1-COSTO X KM'!B26-1</f>
        <v>0.23819836293947994</v>
      </c>
      <c r="AH26" s="678">
        <f>+C26/'[2]1-COSTO X KM'!C26-1</f>
        <v>0.28706017681736928</v>
      </c>
      <c r="AI26" s="678">
        <f>+D26/'[2]1-COSTO X KM'!D26-1</f>
        <v>0.30078151351709326</v>
      </c>
      <c r="AJ26" s="678">
        <f>+E26/'[2]1-COSTO X KM'!E26-1</f>
        <v>0.2328266539879611</v>
      </c>
      <c r="AK26" s="678">
        <f>+F26/'[2]1-COSTO X KM'!F26-1</f>
        <v>0.4084101378826166</v>
      </c>
      <c r="AL26" s="678">
        <f>+G26/'[2]1-COSTO X KM'!G26-1</f>
        <v>0.28363160543890453</v>
      </c>
      <c r="AM26" s="678">
        <f>+H26/'[2]1-COSTO X KM'!H26-1</f>
        <v>0.36786658851829546</v>
      </c>
      <c r="AN26" s="678">
        <f>+I26/'[2]1-COSTO X KM'!I26-1</f>
        <v>0.29570948431487953</v>
      </c>
      <c r="AO26" s="679">
        <f>+J26/'[2]1-COSTO X KM'!J26-1</f>
        <v>0.33834300360034009</v>
      </c>
    </row>
    <row r="27" spans="1:41" ht="12.45" customHeight="1" x14ac:dyDescent="0.25">
      <c r="A27" s="314" t="s">
        <v>166</v>
      </c>
      <c r="B27" s="310">
        <f>+('3- REND Y CONS'!B33*'3- REND Y CONS'!B38*'5-PRECIOS SIN IVA'!B43+'3- REND Y CONS'!B37*SUMPRODUCT('3- REND Y CONS'!B34:B35,'5-PRECIOS SIN IVA'!B44:B45))/'2- EMP. REP'!B5</f>
        <v>2.4351580306774792</v>
      </c>
      <c r="C27" s="310">
        <f>+('3- REND Y CONS'!C33*'3- REND Y CONS'!C38*'5-PRECIOS SIN IVA'!C43+'3- REND Y CONS'!C37*SUMPRODUCT('3- REND Y CONS'!C34:C35,'5-PRECIOS SIN IVA'!C44:C45))/'2- EMP. REP'!C5</f>
        <v>2.2419988593529983</v>
      </c>
      <c r="D27" s="310">
        <f>+('3- REND Y CONS'!D33*'3- REND Y CONS'!D38*'5-PRECIOS SIN IVA'!D43+'3- REND Y CONS'!D37*SUMPRODUCT('3- REND Y CONS'!D34:D35,'5-PRECIOS SIN IVA'!D44:D45))/'2- EMP. REP'!D5</f>
        <v>1.6993845221870512</v>
      </c>
      <c r="E27" s="310">
        <f>+('3- REND Y CONS'!E33*'3- REND Y CONS'!E38*'5-PRECIOS SIN IVA'!E43+'3- REND Y CONS'!E37*SUMPRODUCT('3- REND Y CONS'!E34:E35,'5-PRECIOS SIN IVA'!E44:E45))/'2- EMP. REP'!E5</f>
        <v>1.2011513393391442</v>
      </c>
      <c r="F27" s="310">
        <f>+('3- REND Y CONS'!F33*'3- REND Y CONS'!F38*'5-PRECIOS SIN IVA'!F43+'3- REND Y CONS'!F37*SUMPRODUCT('3- REND Y CONS'!F34:F35,'5-PRECIOS SIN IVA'!F44:F45))/'2- EMP. REP'!F5</f>
        <v>1.3275736931410445</v>
      </c>
      <c r="G27" s="310">
        <f>+('3- REND Y CONS'!G33*'3- REND Y CONS'!G38*'5-PRECIOS SIN IVA'!G43+'3- REND Y CONS'!G37*SUMPRODUCT('3- REND Y CONS'!G34:G35,'5-PRECIOS SIN IVA'!G44:G45))/'2- EMP. REP'!G5</f>
        <v>1.7892046930351206</v>
      </c>
      <c r="H27" s="310">
        <f>+('3- REND Y CONS'!H33*'3- REND Y CONS'!H38*'5-PRECIOS SIN IVA'!H43+'3- REND Y CONS'!H37*SUMPRODUCT('3- REND Y CONS'!H34:H35,'5-PRECIOS SIN IVA'!H44:H45))/'2- EMP. REP'!H5</f>
        <v>1.3137701230849193</v>
      </c>
      <c r="I27" s="310">
        <f>+('3- REND Y CONS'!I33*'3- REND Y CONS'!I38*'5-PRECIOS SIN IVA'!I43+'3- REND Y CONS'!I37*SUMPRODUCT('3- REND Y CONS'!I34:I35,'5-PRECIOS SIN IVA'!I44:I45))/'2- EMP. REP'!I5</f>
        <v>1.9326464711366504</v>
      </c>
      <c r="J27" s="316">
        <f>+('3- REND Y CONS'!J33*'3- REND Y CONS'!J38*'5-PRECIOS SIN IVA'!J43+'3- REND Y CONS'!J37*SUMPRODUCT('3- REND Y CONS'!J34:J35,'5-PRECIOS SIN IVA'!J44:J45))/'2- EMP. REP'!J5</f>
        <v>1.7956100655514784</v>
      </c>
      <c r="K27" s="594"/>
      <c r="L27" s="632" t="str">
        <f t="shared" si="2"/>
        <v>Conservación de inmuebles</v>
      </c>
      <c r="M27" s="628"/>
      <c r="N27" s="619"/>
      <c r="O27" s="619"/>
      <c r="P27" s="619"/>
      <c r="Q27" s="619"/>
      <c r="R27" s="619"/>
      <c r="S27" s="619"/>
      <c r="T27" s="619"/>
      <c r="U27" s="622"/>
      <c r="V27" s="632" t="str">
        <f t="shared" si="0"/>
        <v>Conservación de inmuebles</v>
      </c>
      <c r="W27" s="628"/>
      <c r="X27" s="619"/>
      <c r="Y27" s="619"/>
      <c r="Z27" s="619"/>
      <c r="AA27" s="619"/>
      <c r="AB27" s="619"/>
      <c r="AC27" s="619"/>
      <c r="AD27" s="619"/>
      <c r="AE27" s="622"/>
      <c r="AF27" s="632" t="str">
        <f t="shared" si="1"/>
        <v>Conservación de inmuebles</v>
      </c>
      <c r="AG27" s="628"/>
      <c r="AH27" s="619"/>
      <c r="AI27" s="619"/>
      <c r="AJ27" s="619"/>
      <c r="AK27" s="619"/>
      <c r="AL27" s="619"/>
      <c r="AM27" s="619"/>
      <c r="AN27" s="619"/>
      <c r="AO27" s="622"/>
    </row>
    <row r="28" spans="1:41" ht="12.45" customHeight="1" x14ac:dyDescent="0.25">
      <c r="A28" s="314" t="s">
        <v>167</v>
      </c>
      <c r="B28" s="310">
        <f>+((('3- REND Y CONS'!B34*'5-PRECIOS SIN IVA'!B44+'3- REND Y CONS'!B35*'5-PRECIOS SIN IVA'!B45)*(1-'3- REND Y CONS'!B43))/'3- REND Y CONS'!B39+(('3- REND Y CONS'!B33*'5-PRECIOS SIN IVA'!B43)*(1-'3- REND Y CONS'!B44))/'3- REND Y CONS'!B41)/'2- EMP. REP'!B5</f>
        <v>3.6961069831991824</v>
      </c>
      <c r="C28" s="310">
        <f>+((('3- REND Y CONS'!C34*'5-PRECIOS SIN IVA'!C44+'3- REND Y CONS'!C35*'5-PRECIOS SIN IVA'!C45)*(1-'3- REND Y CONS'!C43))/'3- REND Y CONS'!C39+(('3- REND Y CONS'!C33*'5-PRECIOS SIN IVA'!C43)*(1-'3- REND Y CONS'!C44))/'3- REND Y CONS'!C41)/'2- EMP. REP'!C5</f>
        <v>3.4029280794042771</v>
      </c>
      <c r="D28" s="310">
        <f>+((('3- REND Y CONS'!D34*'5-PRECIOS SIN IVA'!D44+'3- REND Y CONS'!D35*'5-PRECIOS SIN IVA'!D45)*(1-'3- REND Y CONS'!D43))/'3- REND Y CONS'!D39+(('3- REND Y CONS'!D33*'5-PRECIOS SIN IVA'!D43)*(1-'3- REND Y CONS'!D44))/'3- REND Y CONS'!D41)/'2- EMP. REP'!D5</f>
        <v>2.5793426629682474</v>
      </c>
      <c r="E28" s="310">
        <f>+((('3- REND Y CONS'!E34*'5-PRECIOS SIN IVA'!E44+'3- REND Y CONS'!E35*'5-PRECIOS SIN IVA'!E45)*(1-'3- REND Y CONS'!E43))/'3- REND Y CONS'!E39+(('3- REND Y CONS'!E33*'5-PRECIOS SIN IVA'!E43)*(1-'3- REND Y CONS'!E44))/'3- REND Y CONS'!E41)/'2- EMP. REP'!E5</f>
        <v>1.8371093099234153</v>
      </c>
      <c r="F28" s="310">
        <f>+((('3- REND Y CONS'!F34*'5-PRECIOS SIN IVA'!F44+'3- REND Y CONS'!F35*'5-PRECIOS SIN IVA'!F45)*(1-'3- REND Y CONS'!F43))/'3- REND Y CONS'!F39+(('3- REND Y CONS'!F33*'5-PRECIOS SIN IVA'!F43)*(1-'3- REND Y CONS'!F44))/'3- REND Y CONS'!F41)/'2- EMP. REP'!F5</f>
        <v>2.0880079046367719</v>
      </c>
      <c r="G28" s="310">
        <f>+((('3- REND Y CONS'!G34*'5-PRECIOS SIN IVA'!G44+'3- REND Y CONS'!G35*'5-PRECIOS SIN IVA'!G45)*(1-'3- REND Y CONS'!G43))/'3- REND Y CONS'!G39+(('3- REND Y CONS'!G33*'5-PRECIOS SIN IVA'!G43)*(1-'3- REND Y CONS'!G44))/'3- REND Y CONS'!G41)/'2- EMP. REP'!G5</f>
        <v>2.814061141292616</v>
      </c>
      <c r="H28" s="310">
        <f>+((('3- REND Y CONS'!H34*'5-PRECIOS SIN IVA'!H44+'3- REND Y CONS'!H35*'5-PRECIOS SIN IVA'!H45)*(1-'3- REND Y CONS'!H43))/'3- REND Y CONS'!H39+(('3- REND Y CONS'!H33*'5-PRECIOS SIN IVA'!H43)*(1-'3- REND Y CONS'!H44))/'3- REND Y CONS'!H41)/'2- EMP. REP'!H5</f>
        <v>2.0662976496518271</v>
      </c>
      <c r="I28" s="310">
        <f>+((('3- REND Y CONS'!I34*'5-PRECIOS SIN IVA'!I44+'3- REND Y CONS'!I35*'5-PRECIOS SIN IVA'!I45)*(1-'3- REND Y CONS'!I43))/'3- REND Y CONS'!I39+(('3- REND Y CONS'!I33*'5-PRECIOS SIN IVA'!I43)*(1-'3- REND Y CONS'!I44))/'3- REND Y CONS'!I41)/'2- EMP. REP'!I5</f>
        <v>3.0396663698976747</v>
      </c>
      <c r="J28" s="316">
        <f>+((('3- REND Y CONS'!J34*'5-PRECIOS SIN IVA'!J44+'3- REND Y CONS'!J35*'5-PRECIOS SIN IVA'!J45)*(1-'3- REND Y CONS'!J43))/'3- REND Y CONS'!J39+(('3- REND Y CONS'!J33*'5-PRECIOS SIN IVA'!J43)*(1-'3- REND Y CONS'!J44))/'3- REND Y CONS'!J41)/'2- EMP. REP'!J5</f>
        <v>2.8241355111866548</v>
      </c>
      <c r="K28" s="594"/>
      <c r="L28" s="632" t="str">
        <f t="shared" si="2"/>
        <v>Depreciación de inmuebles</v>
      </c>
      <c r="M28" s="628"/>
      <c r="N28" s="619"/>
      <c r="O28" s="619"/>
      <c r="P28" s="619"/>
      <c r="Q28" s="619"/>
      <c r="R28" s="619"/>
      <c r="S28" s="619"/>
      <c r="T28" s="619"/>
      <c r="U28" s="622"/>
      <c r="V28" s="632" t="str">
        <f t="shared" si="0"/>
        <v>Depreciación de inmuebles</v>
      </c>
      <c r="W28" s="628"/>
      <c r="X28" s="619"/>
      <c r="Y28" s="619"/>
      <c r="Z28" s="619"/>
      <c r="AA28" s="619"/>
      <c r="AB28" s="619"/>
      <c r="AC28" s="619"/>
      <c r="AD28" s="619"/>
      <c r="AE28" s="622"/>
      <c r="AF28" s="632" t="str">
        <f t="shared" si="1"/>
        <v>Depreciación de inmuebles</v>
      </c>
      <c r="AG28" s="628"/>
      <c r="AH28" s="619"/>
      <c r="AI28" s="619"/>
      <c r="AJ28" s="619"/>
      <c r="AK28" s="619"/>
      <c r="AL28" s="619"/>
      <c r="AM28" s="619"/>
      <c r="AN28" s="619"/>
      <c r="AO28" s="622"/>
    </row>
    <row r="29" spans="1:41" ht="12.45" customHeight="1" x14ac:dyDescent="0.25">
      <c r="A29" s="314" t="s">
        <v>168</v>
      </c>
      <c r="B29" s="310">
        <f>+('5-PRECIOS SIN IVA'!B17+'5-PRECIOS SIN IVA'!B18)*('3- REND Y CONS'!B45)*('3- REND Y CONS'!B46)/'2- EMP. REP'!B8</f>
        <v>1.9891598124519894</v>
      </c>
      <c r="C29" s="310">
        <f>+('5-PRECIOS SIN IVA'!C17+'5-PRECIOS SIN IVA'!C18)*('3- REND Y CONS'!C45)*('3- REND Y CONS'!C46)/'2- EMP. REP'!C8</f>
        <v>1.8313776660102272</v>
      </c>
      <c r="D29" s="310">
        <f>+('5-PRECIOS SIN IVA'!D17+'5-PRECIOS SIN IVA'!D18)*('3- REND Y CONS'!D45)*('3- REND Y CONS'!D46)/'2- EMP. REP'!D8</f>
        <v>1.3881429274210058</v>
      </c>
      <c r="E29" s="310">
        <f>+('5-PRECIOS SIN IVA'!E17+'5-PRECIOS SIN IVA'!E18)*('3- REND Y CONS'!E45)*('3- REND Y CONS'!E46)/'2- EMP. REP'!E8</f>
        <v>1.2721397590360182</v>
      </c>
      <c r="F29" s="310">
        <f>+('5-PRECIOS SIN IVA'!F17+'5-PRECIOS SIN IVA'!F18)*('3- REND Y CONS'!F45)*('3- REND Y CONS'!F46)/'2- EMP. REP'!F8</f>
        <v>1.2166107524171883</v>
      </c>
      <c r="G29" s="310">
        <f>+('5-PRECIOS SIN IVA'!G17+'5-PRECIOS SIN IVA'!G18)*('3- REND Y CONS'!G45)*('3- REND Y CONS'!G46)/'2- EMP. REP'!G8</f>
        <v>1.639657127184847</v>
      </c>
      <c r="H29" s="310">
        <f>+('5-PRECIOS SIN IVA'!H17+'5-PRECIOS SIN IVA'!H18)*('3- REND Y CONS'!H45)*('3- REND Y CONS'!H46)/'2- EMP. REP'!H8</f>
        <v>1.2039609297830169</v>
      </c>
      <c r="I29" s="310">
        <f>+('5-PRECIOS SIN IVA'!I17+'5-PRECIOS SIN IVA'!I18)*('3- REND Y CONS'!I45)*('3- REND Y CONS'!I46)/'2- EMP. REP'!I8</f>
        <v>1.5328920246521973</v>
      </c>
      <c r="J29" s="316">
        <f>+('5-PRECIOS SIN IVA'!J17+'5-PRECIOS SIN IVA'!J18)*('3- REND Y CONS'!J45)*('3- REND Y CONS'!J46)/'2- EMP. REP'!J8</f>
        <v>1.4242006440268675</v>
      </c>
      <c r="K29" s="594"/>
      <c r="L29" s="632" t="str">
        <f t="shared" si="2"/>
        <v>Conservación de máquinas y herramientas</v>
      </c>
      <c r="M29" s="628"/>
      <c r="N29" s="619"/>
      <c r="O29" s="619"/>
      <c r="P29" s="619"/>
      <c r="Q29" s="619"/>
      <c r="R29" s="619"/>
      <c r="S29" s="619"/>
      <c r="T29" s="619"/>
      <c r="U29" s="622"/>
      <c r="V29" s="632" t="str">
        <f t="shared" si="0"/>
        <v>Conservación de máquinas y herramientas</v>
      </c>
      <c r="W29" s="628"/>
      <c r="X29" s="619"/>
      <c r="Y29" s="619"/>
      <c r="Z29" s="619"/>
      <c r="AA29" s="619"/>
      <c r="AB29" s="619"/>
      <c r="AC29" s="619"/>
      <c r="AD29" s="619"/>
      <c r="AE29" s="622"/>
      <c r="AF29" s="632" t="str">
        <f t="shared" si="1"/>
        <v>Conservación de máquinas y herramientas</v>
      </c>
      <c r="AG29" s="628"/>
      <c r="AH29" s="619"/>
      <c r="AI29" s="619"/>
      <c r="AJ29" s="619"/>
      <c r="AK29" s="619"/>
      <c r="AL29" s="619"/>
      <c r="AM29" s="619"/>
      <c r="AN29" s="619"/>
      <c r="AO29" s="622"/>
    </row>
    <row r="30" spans="1:41" ht="12.45" customHeight="1" x14ac:dyDescent="0.25">
      <c r="A30" s="314" t="s">
        <v>169</v>
      </c>
      <c r="B30" s="310">
        <f>+('3- REND Y CONS'!B45*'2- EMP. REP'!B6*('5-PRECIOS SIN IVA'!B17+'5-PRECIOS SIN IVA'!B18)*(1-'3- REND Y CONS'!B48)/'3- REND Y CONS'!B47)/'2- EMP. REP'!B5</f>
        <v>5.3044261665386374</v>
      </c>
      <c r="C30" s="310">
        <f>+('3- REND Y CONS'!C45*'2- EMP. REP'!C6*('5-PRECIOS SIN IVA'!C17+'5-PRECIOS SIN IVA'!C18)*(1-'3- REND Y CONS'!C48)/'3- REND Y CONS'!C47)/'2- EMP. REP'!C5</f>
        <v>4.8836737760272735</v>
      </c>
      <c r="D30" s="310">
        <f>+('3- REND Y CONS'!D45*'2- EMP. REP'!D6*('5-PRECIOS SIN IVA'!D17+'5-PRECIOS SIN IVA'!D18)*(1-'3- REND Y CONS'!D48)/'3- REND Y CONS'!D47)/'2- EMP. REP'!D5</f>
        <v>3.7017144731226819</v>
      </c>
      <c r="E30" s="310">
        <f>+('3- REND Y CONS'!E45*'2- EMP. REP'!E6*('5-PRECIOS SIN IVA'!E17+'5-PRECIOS SIN IVA'!E18)*(1-'3- REND Y CONS'!E48)/'3- REND Y CONS'!E47)/'2- EMP. REP'!E5</f>
        <v>3.3923726907627154</v>
      </c>
      <c r="F30" s="310">
        <f>+('3- REND Y CONS'!F45*'2- EMP. REP'!F6*('5-PRECIOS SIN IVA'!F17+'5-PRECIOS SIN IVA'!F18)*(1-'3- REND Y CONS'!F48)/'3- REND Y CONS'!F47)/'2- EMP. REP'!F5</f>
        <v>3.2442953397791681</v>
      </c>
      <c r="G30" s="310">
        <f>+('3- REND Y CONS'!G45*'2- EMP. REP'!G6*('5-PRECIOS SIN IVA'!G17+'5-PRECIOS SIN IVA'!G18)*(1-'3- REND Y CONS'!G48)/'3- REND Y CONS'!G47)/'2- EMP. REP'!G5</f>
        <v>4.3724190058262584</v>
      </c>
      <c r="H30" s="310">
        <f>+('3- REND Y CONS'!H45*'2- EMP. REP'!H6*('5-PRECIOS SIN IVA'!H17+'5-PRECIOS SIN IVA'!H18)*(1-'3- REND Y CONS'!H48)/'3- REND Y CONS'!H47)/'2- EMP. REP'!H5</f>
        <v>3.210562479421379</v>
      </c>
      <c r="I30" s="310">
        <f>+('3- REND Y CONS'!I45*'2- EMP. REP'!I6*('5-PRECIOS SIN IVA'!I17+'5-PRECIOS SIN IVA'!I18)*(1-'3- REND Y CONS'!I48)/'3- REND Y CONS'!I47)/'2- EMP. REP'!I5</f>
        <v>4.0877120657391934</v>
      </c>
      <c r="J30" s="316">
        <f>+('3- REND Y CONS'!J45*'2- EMP. REP'!J6*('5-PRECIOS SIN IVA'!J17+'5-PRECIOS SIN IVA'!J18)*(1-'3- REND Y CONS'!J48)/'3- REND Y CONS'!J47)/'2- EMP. REP'!J5</f>
        <v>3.7978683840716472</v>
      </c>
      <c r="K30" s="594"/>
      <c r="L30" s="632" t="str">
        <f t="shared" si="2"/>
        <v>Depreciación de máquinas y herramientas</v>
      </c>
      <c r="M30" s="628"/>
      <c r="N30" s="619"/>
      <c r="O30" s="619"/>
      <c r="P30" s="619"/>
      <c r="Q30" s="619"/>
      <c r="R30" s="619"/>
      <c r="S30" s="619"/>
      <c r="T30" s="619"/>
      <c r="U30" s="622"/>
      <c r="V30" s="632" t="str">
        <f t="shared" si="0"/>
        <v>Depreciación de máquinas y herramientas</v>
      </c>
      <c r="W30" s="628"/>
      <c r="X30" s="619"/>
      <c r="Y30" s="619"/>
      <c r="Z30" s="619"/>
      <c r="AA30" s="619"/>
      <c r="AB30" s="619"/>
      <c r="AC30" s="619"/>
      <c r="AD30" s="619"/>
      <c r="AE30" s="622"/>
      <c r="AF30" s="632" t="str">
        <f t="shared" si="1"/>
        <v>Depreciación de máquinas y herramientas</v>
      </c>
      <c r="AG30" s="628"/>
      <c r="AH30" s="619"/>
      <c r="AI30" s="619"/>
      <c r="AJ30" s="619"/>
      <c r="AK30" s="619"/>
      <c r="AL30" s="619"/>
      <c r="AM30" s="619"/>
      <c r="AN30" s="619"/>
      <c r="AO30" s="622"/>
    </row>
    <row r="31" spans="1:41" ht="12.45" customHeight="1" x14ac:dyDescent="0.25">
      <c r="A31" s="319" t="s">
        <v>170</v>
      </c>
      <c r="B31" s="163">
        <f>(SUMPRODUCT('3- REND Y CONS'!B33:B36,'5-PRECIOS SIN IVA'!B43:B46)*'5-PRECIOS SIN IVA'!B52)*(SUM('5-PRECIOS SIN IVA'!B55:B57))/'2- EMP. REP'!B5</f>
        <v>2.6264970751103047</v>
      </c>
      <c r="C31" s="163">
        <f>(SUMPRODUCT('3- REND Y CONS'!C33:C36,'5-PRECIOS SIN IVA'!C43:C46)*'5-PRECIOS SIN IVA'!C52)*(SUM('5-PRECIOS SIN IVA'!C55:C57))/'2- EMP. REP'!C5</f>
        <v>2.4181606993501923</v>
      </c>
      <c r="D31" s="163">
        <f>(SUMPRODUCT('3- REND Y CONS'!D33:D36,'5-PRECIOS SIN IVA'!D43:D46)*'5-PRECIOS SIN IVA'!D52)*(SUM('5-PRECIOS SIN IVA'!D55:D57))/'2- EMP. REP'!D5</f>
        <v>1.8329112200452358</v>
      </c>
      <c r="E31" s="163">
        <f>(SUMPRODUCT('3- REND Y CONS'!E33:E36,'5-PRECIOS SIN IVA'!E43:E46)*'5-PRECIOS SIN IVA'!E52)*(SUM('5-PRECIOS SIN IVA'!E55:E57))/'2- EMP. REP'!E5</f>
        <v>1.3096185306498707</v>
      </c>
      <c r="F31" s="163">
        <f>(SUMPRODUCT('3- REND Y CONS'!F33:F36,'5-PRECIOS SIN IVA'!F43:F46)*'5-PRECIOS SIN IVA'!F52)*(SUM('5-PRECIOS SIN IVA'!F55:F57))/'2- EMP. REP'!F5</f>
        <v>1.2218362965094798</v>
      </c>
      <c r="G31" s="163">
        <f>(SUMPRODUCT('3- REND Y CONS'!G33:G36,'5-PRECIOS SIN IVA'!G43:G46)*'5-PRECIOS SIN IVA'!G52)*(SUM('5-PRECIOS SIN IVA'!G55:G57))/'2- EMP. REP'!G5</f>
        <v>1.646699725318491</v>
      </c>
      <c r="H31" s="163">
        <f>(SUMPRODUCT('3- REND Y CONS'!H33:H36,'5-PRECIOS SIN IVA'!H43:H46)*'5-PRECIOS SIN IVA'!H52)*(SUM('5-PRECIOS SIN IVA'!H55:H57))/'2- EMP. REP'!H5</f>
        <v>1.2091321407981075</v>
      </c>
      <c r="I31" s="163">
        <f>(SUMPRODUCT('3- REND Y CONS'!I33:I36,'5-PRECIOS SIN IVA'!I43:I46)*'5-PRECIOS SIN IVA'!I52)*(SUM('5-PRECIOS SIN IVA'!I55:I57))/'2- EMP. REP'!I5</f>
        <v>1.7787167815661458</v>
      </c>
      <c r="J31" s="704">
        <f>(SUMPRODUCT('3- REND Y CONS'!J33:J36,'5-PRECIOS SIN IVA'!J43:J46)*'5-PRECIOS SIN IVA'!J52)*(SUM('5-PRECIOS SIN IVA'!J55:J57))/'2- EMP. REP'!J5</f>
        <v>1.6525949284801575</v>
      </c>
      <c r="K31" s="594"/>
      <c r="L31" s="641" t="str">
        <f t="shared" si="2"/>
        <v>12. IMPUESTOS Y TASAS MUNICIPALES</v>
      </c>
      <c r="M31" s="642">
        <f t="shared" si="17"/>
        <v>6.7767134876792147E-4</v>
      </c>
      <c r="N31" s="643">
        <f t="shared" si="18"/>
        <v>6.9855279298772167E-4</v>
      </c>
      <c r="O31" s="643">
        <f t="shared" si="19"/>
        <v>6.5737410152178345E-4</v>
      </c>
      <c r="P31" s="643">
        <f t="shared" si="20"/>
        <v>5.567627130885262E-4</v>
      </c>
      <c r="Q31" s="643">
        <f t="shared" si="21"/>
        <v>5.1400301744469778E-4</v>
      </c>
      <c r="R31" s="643">
        <f t="shared" si="22"/>
        <v>5.3503092522452637E-4</v>
      </c>
      <c r="S31" s="643">
        <f t="shared" si="23"/>
        <v>4.8851914970012001E-4</v>
      </c>
      <c r="T31" s="643">
        <f t="shared" si="24"/>
        <v>5.7219477332362903E-4</v>
      </c>
      <c r="U31" s="644">
        <f t="shared" si="25"/>
        <v>5.6103249702835222E-4</v>
      </c>
      <c r="V31" s="660" t="str">
        <f t="shared" si="0"/>
        <v>12. IMPUESTOS Y TASAS MUNICIPALES</v>
      </c>
      <c r="W31" s="663">
        <f>+B31/'[1]1-COSTO X KM'!B31-1</f>
        <v>-0.21901887241540019</v>
      </c>
      <c r="X31" s="664">
        <f>+C31/'[1]1-COSTO X KM'!C31-1</f>
        <v>0.41821784517087202</v>
      </c>
      <c r="Y31" s="664">
        <f>+D31/'[1]1-COSTO X KM'!D31-1</f>
        <v>0.42944302072251084</v>
      </c>
      <c r="Z31" s="664">
        <f>+E31/'[1]1-COSTO X KM'!E31-1</f>
        <v>0.3306169592462036</v>
      </c>
      <c r="AA31" s="664">
        <f>+F31/'[1]1-COSTO X KM'!F31-1</f>
        <v>0.40840268219353959</v>
      </c>
      <c r="AB31" s="664">
        <f>+G31/'[1]1-COSTO X KM'!G31-1</f>
        <v>0.14271348524835181</v>
      </c>
      <c r="AC31" s="664">
        <f>+H31/'[1]1-COSTO X KM'!H31-1</f>
        <v>0.26229236119879817</v>
      </c>
      <c r="AD31" s="664">
        <f>+I31/'[1]1-COSTO X KM'!I31-1</f>
        <v>0.1615053040440495</v>
      </c>
      <c r="AE31" s="665">
        <f>+J31/'[1]1-COSTO X KM'!J31-1</f>
        <v>0.19405004858903818</v>
      </c>
      <c r="AF31" s="676" t="str">
        <f t="shared" si="1"/>
        <v>12. IMPUESTOS Y TASAS MUNICIPALES</v>
      </c>
      <c r="AG31" s="677">
        <f>+B31/'[2]1-COSTO X KM'!B31-1</f>
        <v>-0.25430681727892079</v>
      </c>
      <c r="AH31" s="678">
        <f>+C31/'[2]1-COSTO X KM'!C31-1</f>
        <v>0.19292490512915794</v>
      </c>
      <c r="AI31" s="678">
        <f>+D31/'[2]1-COSTO X KM'!D31-1</f>
        <v>0.20564266656377783</v>
      </c>
      <c r="AJ31" s="678">
        <f>+E31/'[2]1-COSTO X KM'!E31-1</f>
        <v>0.13232272208281382</v>
      </c>
      <c r="AK31" s="678">
        <f>+F31/'[2]1-COSTO X KM'!F31-1</f>
        <v>0.2076099752904037</v>
      </c>
      <c r="AL31" s="678">
        <f>+G31/'[2]1-COSTO X KM'!G31-1</f>
        <v>0.10062139545267268</v>
      </c>
      <c r="AM31" s="678">
        <f>+H31/'[2]1-COSTO X KM'!H31-1</f>
        <v>0.17284680983943645</v>
      </c>
      <c r="AN31" s="678">
        <f>+I31/'[2]1-COSTO X KM'!I31-1</f>
        <v>0.11790186249716816</v>
      </c>
      <c r="AO31" s="679">
        <f>+J31/'[2]1-COSTO X KM'!J31-1</f>
        <v>0.15468486917495383</v>
      </c>
    </row>
    <row r="32" spans="1:41" ht="12.45" customHeight="1" x14ac:dyDescent="0.25">
      <c r="A32" s="319" t="s">
        <v>171</v>
      </c>
      <c r="B32" s="164">
        <f t="shared" ref="B32:J32" si="28">SUM(B33:B36)</f>
        <v>139.01444650768923</v>
      </c>
      <c r="C32" s="164">
        <f t="shared" si="28"/>
        <v>127.98768152928399</v>
      </c>
      <c r="D32" s="164">
        <f t="shared" si="28"/>
        <v>97.011773272818473</v>
      </c>
      <c r="E32" s="164">
        <f t="shared" si="28"/>
        <v>85.776593505345687</v>
      </c>
      <c r="F32" s="164">
        <f t="shared" si="28"/>
        <v>81.527811665261268</v>
      </c>
      <c r="G32" s="164">
        <f t="shared" si="28"/>
        <v>109.87709684065831</v>
      </c>
      <c r="H32" s="164">
        <f t="shared" si="28"/>
        <v>80.680118715590524</v>
      </c>
      <c r="I32" s="164">
        <f t="shared" si="28"/>
        <v>104.72111145738386</v>
      </c>
      <c r="J32" s="705">
        <f t="shared" si="28"/>
        <v>97.29574685122077</v>
      </c>
      <c r="K32" s="594"/>
      <c r="L32" s="641" t="str">
        <f t="shared" si="2"/>
        <v>13. COSTO DEL CAPITAL INVERTIDO</v>
      </c>
      <c r="M32" s="642">
        <f t="shared" si="17"/>
        <v>3.586758514061375E-2</v>
      </c>
      <c r="N32" s="643">
        <f t="shared" si="18"/>
        <v>3.6972791934104944E-2</v>
      </c>
      <c r="O32" s="643">
        <f t="shared" si="19"/>
        <v>3.4793298548677173E-2</v>
      </c>
      <c r="P32" s="643">
        <f t="shared" si="20"/>
        <v>3.6466503643491827E-2</v>
      </c>
      <c r="Q32" s="643">
        <f t="shared" si="21"/>
        <v>3.4297181481121757E-2</v>
      </c>
      <c r="R32" s="643">
        <f t="shared" si="22"/>
        <v>3.5700282133873606E-2</v>
      </c>
      <c r="S32" s="643">
        <f t="shared" si="23"/>
        <v>3.2596754037676395E-2</v>
      </c>
      <c r="T32" s="643">
        <f t="shared" si="24"/>
        <v>3.3687697363374736E-2</v>
      </c>
      <c r="U32" s="644">
        <f t="shared" si="25"/>
        <v>3.3030523611965831E-2</v>
      </c>
      <c r="V32" s="660" t="str">
        <f t="shared" si="0"/>
        <v>13. COSTO DEL CAPITAL INVERTIDO</v>
      </c>
      <c r="W32" s="663">
        <f>+B32/'[1]1-COSTO X KM'!B32-1</f>
        <v>0.28380747276851248</v>
      </c>
      <c r="X32" s="664">
        <f>+C32/'[1]1-COSTO X KM'!C32-1</f>
        <v>0.69609499227929583</v>
      </c>
      <c r="Y32" s="664">
        <f>+D32/'[1]1-COSTO X KM'!D32-1</f>
        <v>0.7095195617877248</v>
      </c>
      <c r="Z32" s="664">
        <f>+E32/'[1]1-COSTO X KM'!E32-1</f>
        <v>0.602782804752511</v>
      </c>
      <c r="AA32" s="664">
        <f>+F32/'[1]1-COSTO X KM'!F32-1</f>
        <v>0.82700069692472677</v>
      </c>
      <c r="AB32" s="664">
        <f>+G32/'[1]1-COSTO X KM'!G32-1</f>
        <v>0.48234475859023584</v>
      </c>
      <c r="AC32" s="664">
        <f>+H32/'[1]1-COSTO X KM'!H32-1</f>
        <v>0.63746423717478407</v>
      </c>
      <c r="AD32" s="664">
        <f>+I32/'[1]1-COSTO X KM'!I32-1</f>
        <v>0.49794982277590982</v>
      </c>
      <c r="AE32" s="665">
        <f>+J32/'[1]1-COSTO X KM'!J32-1</f>
        <v>0.53992155906821648</v>
      </c>
      <c r="AF32" s="676" t="str">
        <f t="shared" si="1"/>
        <v>13. COSTO DEL CAPITAL INVERTIDO</v>
      </c>
      <c r="AG32" s="677">
        <f>+B32/'[2]1-COSTO X KM'!B32-1</f>
        <v>0.16258521419453098</v>
      </c>
      <c r="AH32" s="678">
        <f>+C32/'[2]1-COSTO X KM'!C32-1</f>
        <v>0.34478701711004911</v>
      </c>
      <c r="AI32" s="678">
        <f>+D32/'[2]1-COSTO X KM'!D32-1</f>
        <v>0.35912377912284987</v>
      </c>
      <c r="AJ32" s="678">
        <f>+E32/'[2]1-COSTO X KM'!E32-1</f>
        <v>0.2824237904522191</v>
      </c>
      <c r="AK32" s="678">
        <f>+F32/'[2]1-COSTO X KM'!F32-1</f>
        <v>0.47357801352154172</v>
      </c>
      <c r="AL32" s="678">
        <f>+G32/'[2]1-COSTO X KM'!G32-1</f>
        <v>0.34302591294878715</v>
      </c>
      <c r="AM32" s="678">
        <f>+H32/'[2]1-COSTO X KM'!H32-1</f>
        <v>0.43115849286741792</v>
      </c>
      <c r="AN32" s="678">
        <f>+I32/'[2]1-COSTO X KM'!I32-1</f>
        <v>0.35816881485766738</v>
      </c>
      <c r="AO32" s="679">
        <f>+J32/'[2]1-COSTO X KM'!J32-1</f>
        <v>0.40285747158364771</v>
      </c>
    </row>
    <row r="33" spans="1:41" ht="12.45" customHeight="1" x14ac:dyDescent="0.25">
      <c r="A33" s="314" t="s">
        <v>152</v>
      </c>
      <c r="B33" s="309">
        <f>+'5-PRECIOS SIN IVA'!B39*'2- EMP. REP'!B6*('5-PRECIOS SIN IVA'!B25)/'2- EMP. REP'!B5</f>
        <v>79.466281899750939</v>
      </c>
      <c r="C33" s="309">
        <f>+'5-PRECIOS SIN IVA'!C39*'2- EMP. REP'!C6*('5-PRECIOS SIN IVA'!C25)/'2- EMP. REP'!C5</f>
        <v>73.162936914898722</v>
      </c>
      <c r="D33" s="309">
        <f>+'5-PRECIOS SIN IVA'!D39*'2- EMP. REP'!D6*('5-PRECIOS SIN IVA'!D25)/'2- EMP. REP'!D5</f>
        <v>55.455854525638138</v>
      </c>
      <c r="E33" s="309">
        <f>+'5-PRECIOS SIN IVA'!E39*'2- EMP. REP'!E6*('5-PRECIOS SIN IVA'!E25)/'2- EMP. REP'!E5</f>
        <v>47.17015831661174</v>
      </c>
      <c r="F33" s="309">
        <f>+'5-PRECIOS SIN IVA'!F39*'2- EMP. REP'!F6*('5-PRECIOS SIN IVA'!F25)/'2- EMP. REP'!F5</f>
        <v>48.603200410869874</v>
      </c>
      <c r="G33" s="309">
        <f>+'5-PRECIOS SIN IVA'!G39*'2- EMP. REP'!G6*('5-PRECIOS SIN IVA'!G25)/'2- EMP. REP'!G5</f>
        <v>65.503764288899589</v>
      </c>
      <c r="H33" s="309">
        <f>+'5-PRECIOS SIN IVA'!H39*'2- EMP. REP'!H6*('5-PRECIOS SIN IVA'!H25)/'2- EMP. REP'!H5</f>
        <v>48.097844146814957</v>
      </c>
      <c r="I33" s="309">
        <f>+'5-PRECIOS SIN IVA'!I39*'2- EMP. REP'!I6*('5-PRECIOS SIN IVA'!I25)/'2- EMP. REP'!I5</f>
        <v>61.248134137575391</v>
      </c>
      <c r="J33" s="315">
        <f>+'5-PRECIOS SIN IVA'!J39*'2- EMP. REP'!J6*('5-PRECIOS SIN IVA'!J25)/'2- EMP. REP'!J5</f>
        <v>56.905268395515755</v>
      </c>
      <c r="K33" s="594"/>
      <c r="L33" s="632" t="str">
        <f t="shared" si="2"/>
        <v>. Chasis (incluye boletera y rampa)</v>
      </c>
      <c r="M33" s="628"/>
      <c r="N33" s="619"/>
      <c r="O33" s="619"/>
      <c r="P33" s="619"/>
      <c r="Q33" s="619"/>
      <c r="R33" s="619"/>
      <c r="S33" s="619"/>
      <c r="T33" s="619"/>
      <c r="U33" s="622"/>
      <c r="V33" s="632" t="str">
        <f t="shared" si="0"/>
        <v>. Chasis (incluye boletera y rampa)</v>
      </c>
      <c r="W33" s="628"/>
      <c r="X33" s="619"/>
      <c r="Y33" s="619"/>
      <c r="Z33" s="619"/>
      <c r="AA33" s="619"/>
      <c r="AB33" s="619"/>
      <c r="AC33" s="619"/>
      <c r="AD33" s="619"/>
      <c r="AE33" s="622"/>
      <c r="AF33" s="632" t="str">
        <f t="shared" si="1"/>
        <v>. Chasis (incluye boletera y rampa)</v>
      </c>
      <c r="AG33" s="628"/>
      <c r="AH33" s="619"/>
      <c r="AI33" s="619"/>
      <c r="AJ33" s="619"/>
      <c r="AK33" s="619"/>
      <c r="AL33" s="619"/>
      <c r="AM33" s="619"/>
      <c r="AN33" s="619"/>
      <c r="AO33" s="622"/>
    </row>
    <row r="34" spans="1:41" ht="12.45" customHeight="1" x14ac:dyDescent="0.25">
      <c r="A34" s="314" t="s">
        <v>153</v>
      </c>
      <c r="B34" s="309">
        <f>+'5-PRECIOS SIN IVA'!B39*'2- EMP. REP'!B6*'5-PRECIOS SIN IVA'!B26/'2- EMP. REP'!B5</f>
        <v>34.537439851403697</v>
      </c>
      <c r="C34" s="309">
        <f>+'5-PRECIOS SIN IVA'!C39*'2- EMP. REP'!C6*'5-PRECIOS SIN IVA'!C26/'2- EMP. REP'!C5</f>
        <v>31.797895568312445</v>
      </c>
      <c r="D34" s="309">
        <f>+'5-PRECIOS SIN IVA'!D39*'2- EMP. REP'!D6*'5-PRECIOS SIN IVA'!D26/'2- EMP. REP'!D5</f>
        <v>24.102087002178262</v>
      </c>
      <c r="E34" s="309">
        <f>+'5-PRECIOS SIN IVA'!E39*'2- EMP. REP'!E6*'5-PRECIOS SIN IVA'!E26/'2- EMP. REP'!E5</f>
        <v>25.739351623140053</v>
      </c>
      <c r="F34" s="309">
        <f>+'5-PRECIOS SIN IVA'!F39*'2- EMP. REP'!F6*'5-PRECIOS SIN IVA'!F26/'2- EMP. REP'!F5</f>
        <v>21.123803337040222</v>
      </c>
      <c r="G34" s="309">
        <f>+'5-PRECIOS SIN IVA'!G39*'2- EMP. REP'!G6*'5-PRECIOS SIN IVA'!G26/'2- EMP. REP'!G5</f>
        <v>28.469084812881945</v>
      </c>
      <c r="H34" s="309">
        <f>+'5-PRECIOS SIN IVA'!H39*'2- EMP. REP'!H6*'5-PRECIOS SIN IVA'!H26/'2- EMP. REP'!H5</f>
        <v>20.904166641374189</v>
      </c>
      <c r="I34" s="309">
        <f>+'5-PRECIOS SIN IVA'!I39*'2- EMP. REP'!I6*'5-PRECIOS SIN IVA'!I26/'2- EMP. REP'!I5</f>
        <v>26.605740025303671</v>
      </c>
      <c r="J34" s="315">
        <f>+'5-PRECIOS SIN IVA'!J39*'2- EMP. REP'!J6*'5-PRECIOS SIN IVA'!J26/'2- EMP. REP'!J5</f>
        <v>24.719231015274094</v>
      </c>
      <c r="K34" s="594"/>
      <c r="L34" s="632" t="str">
        <f t="shared" si="2"/>
        <v>. Carrocería</v>
      </c>
      <c r="M34" s="628"/>
      <c r="N34" s="619"/>
      <c r="O34" s="619"/>
      <c r="P34" s="619"/>
      <c r="Q34" s="619"/>
      <c r="R34" s="619"/>
      <c r="S34" s="619"/>
      <c r="T34" s="619"/>
      <c r="U34" s="622"/>
      <c r="V34" s="632" t="str">
        <f t="shared" si="0"/>
        <v>. Carrocería</v>
      </c>
      <c r="W34" s="628"/>
      <c r="X34" s="619"/>
      <c r="Y34" s="619"/>
      <c r="Z34" s="619"/>
      <c r="AA34" s="619"/>
      <c r="AB34" s="619"/>
      <c r="AC34" s="619"/>
      <c r="AD34" s="619"/>
      <c r="AE34" s="622"/>
      <c r="AF34" s="632" t="str">
        <f t="shared" si="1"/>
        <v>. Carrocería</v>
      </c>
      <c r="AG34" s="628"/>
      <c r="AH34" s="619"/>
      <c r="AI34" s="619"/>
      <c r="AJ34" s="619"/>
      <c r="AK34" s="619"/>
      <c r="AL34" s="619"/>
      <c r="AM34" s="619"/>
      <c r="AN34" s="619"/>
      <c r="AO34" s="622"/>
    </row>
    <row r="35" spans="1:41" ht="12.45" customHeight="1" x14ac:dyDescent="0.25">
      <c r="A35" s="314" t="s">
        <v>172</v>
      </c>
      <c r="B35" s="310">
        <f>+'5-PRECIOS SIN IVA'!B39*('5-PRECIOS SIN IVA'!B17+'5-PRECIOS SIN IVA'!B18)*(1+'3- REND Y CONS'!B48)/2*'2- EMP. REP'!B6*'3- REND Y CONS'!B45/'2- EMP. REP'!B5</f>
        <v>2.6057993543121061</v>
      </c>
      <c r="C35" s="310">
        <f>+'5-PRECIOS SIN IVA'!C39*('5-PRECIOS SIN IVA'!C17+'5-PRECIOS SIN IVA'!C18)*(1+'3- REND Y CONS'!C48)/2*'2- EMP. REP'!C6*'3- REND Y CONS'!C45/'2- EMP. REP'!C5</f>
        <v>2.3991047424733978</v>
      </c>
      <c r="D35" s="310">
        <f>+'5-PRECIOS SIN IVA'!D39*('5-PRECIOS SIN IVA'!D17+'5-PRECIOS SIN IVA'!D18)*(1+'3- REND Y CONS'!D48)/2*'2- EMP. REP'!D6*'3- REND Y CONS'!D45/'2- EMP. REP'!D5</f>
        <v>1.8184672349215176</v>
      </c>
      <c r="E35" s="310">
        <f>+'5-PRECIOS SIN IVA'!E39*('5-PRECIOS SIN IVA'!E17+'5-PRECIOS SIN IVA'!E18)*(1+'3- REND Y CONS'!E48)/2*'2- EMP. REP'!E6*'3- REND Y CONS'!E45/'2- EMP. REP'!E5</f>
        <v>1.6665030843371837</v>
      </c>
      <c r="F35" s="310">
        <f>+'5-PRECIOS SIN IVA'!F39*('5-PRECIOS SIN IVA'!F17+'5-PRECIOS SIN IVA'!F18)*(1+'3- REND Y CONS'!F48)/2*'2- EMP. REP'!F6*'3- REND Y CONS'!F45/'2- EMP. REP'!F5</f>
        <v>1.5937600856665164</v>
      </c>
      <c r="G35" s="310">
        <f>+'5-PRECIOS SIN IVA'!G39*('5-PRECIOS SIN IVA'!G17+'5-PRECIOS SIN IVA'!G18)*(1+'3- REND Y CONS'!G48)/2*'2- EMP. REP'!G6*'3- REND Y CONS'!G45/'2- EMP. REP'!G5</f>
        <v>2.1479508366121496</v>
      </c>
      <c r="H35" s="310">
        <f>+'5-PRECIOS SIN IVA'!H39*('5-PRECIOS SIN IVA'!H17+'5-PRECIOS SIN IVA'!H18)*(1+'3- REND Y CONS'!H48)/2*'2- EMP. REP'!H6*'3- REND Y CONS'!H45/'2- EMP. REP'!H5</f>
        <v>1.5771888180157521</v>
      </c>
      <c r="I35" s="310">
        <f>+'5-PRECIOS SIN IVA'!I39*('5-PRECIOS SIN IVA'!I17+'5-PRECIOS SIN IVA'!I18)*(1+'3- REND Y CONS'!I48)/2*'2- EMP. REP'!I6*'3- REND Y CONS'!I45/'2- EMP. REP'!I5</f>
        <v>2.0080885522943785</v>
      </c>
      <c r="J35" s="316">
        <f>+'5-PRECIOS SIN IVA'!J39*('5-PRECIOS SIN IVA'!J17+'5-PRECIOS SIN IVA'!J18)*(1+'3- REND Y CONS'!J48)/2*'2- EMP. REP'!J6*'3- REND Y CONS'!J45/'2- EMP. REP'!J5</f>
        <v>1.8657028436751966</v>
      </c>
      <c r="K35" s="594"/>
      <c r="L35" s="632" t="str">
        <f t="shared" si="2"/>
        <v>. Máquinas y herramientas</v>
      </c>
      <c r="M35" s="628"/>
      <c r="N35" s="619"/>
      <c r="O35" s="619"/>
      <c r="P35" s="619"/>
      <c r="Q35" s="619"/>
      <c r="R35" s="619"/>
      <c r="S35" s="619"/>
      <c r="T35" s="619"/>
      <c r="U35" s="622"/>
      <c r="V35" s="632" t="str">
        <f t="shared" ref="V35:V53" si="29">+A35</f>
        <v>. Máquinas y herramientas</v>
      </c>
      <c r="W35" s="628"/>
      <c r="X35" s="619"/>
      <c r="Y35" s="619"/>
      <c r="Z35" s="619"/>
      <c r="AA35" s="619"/>
      <c r="AB35" s="619"/>
      <c r="AC35" s="619"/>
      <c r="AD35" s="619"/>
      <c r="AE35" s="622"/>
      <c r="AF35" s="632" t="str">
        <f t="shared" ref="AF35:AF53" si="30">+L35</f>
        <v>. Máquinas y herramientas</v>
      </c>
      <c r="AG35" s="628"/>
      <c r="AH35" s="619"/>
      <c r="AI35" s="619"/>
      <c r="AJ35" s="619"/>
      <c r="AK35" s="619"/>
      <c r="AL35" s="619"/>
      <c r="AM35" s="619"/>
      <c r="AN35" s="619"/>
      <c r="AO35" s="622"/>
    </row>
    <row r="36" spans="1:41" ht="12.45" customHeight="1" x14ac:dyDescent="0.25">
      <c r="A36" s="314" t="s">
        <v>173</v>
      </c>
      <c r="B36" s="309">
        <f>+'5-PRECIOS SIN IVA'!B39*('3- REND Y CONS'!B34*'5-PRECIOS SIN IVA'!B44*(1+'3- REND Y CONS'!B43)/2+'3- REND Y CONS'!B35*'5-PRECIOS SIN IVA'!B45*(1+'3- REND Y CONS'!B43)/2+'3- REND Y CONS'!B33*'5-PRECIOS SIN IVA'!B43*(1+'3- REND Y CONS'!B44)/2+'3- REND Y CONS'!B36*'5-PRECIOS SIN IVA'!B46)/'2- EMP. REP'!B5</f>
        <v>22.404925402222464</v>
      </c>
      <c r="C36" s="309">
        <f>+'5-PRECIOS SIN IVA'!C39*('3- REND Y CONS'!C34*'5-PRECIOS SIN IVA'!C44*(1+'3- REND Y CONS'!C43)/2+'3- REND Y CONS'!C35*'5-PRECIOS SIN IVA'!C45*(1+'3- REND Y CONS'!C43)/2+'3- REND Y CONS'!C33*'5-PRECIOS SIN IVA'!C43*(1+'3- REND Y CONS'!C44)/2+'3- REND Y CONS'!C36*'5-PRECIOS SIN IVA'!C46)/'2- EMP. REP'!C5</f>
        <v>20.627744303599432</v>
      </c>
      <c r="D36" s="309">
        <f>+'5-PRECIOS SIN IVA'!D39*('3- REND Y CONS'!D34*'5-PRECIOS SIN IVA'!D44*(1+'3- REND Y CONS'!D43)/2+'3- REND Y CONS'!D35*'5-PRECIOS SIN IVA'!D45*(1+'3- REND Y CONS'!D43)/2+'3- REND Y CONS'!D33*'5-PRECIOS SIN IVA'!D43*(1+'3- REND Y CONS'!D44)/2+'3- REND Y CONS'!D36*'5-PRECIOS SIN IVA'!D46)/'2- EMP. REP'!D5</f>
        <v>15.635364510080565</v>
      </c>
      <c r="E36" s="309">
        <f>+'5-PRECIOS SIN IVA'!E39*('3- REND Y CONS'!E34*'5-PRECIOS SIN IVA'!E44*(1+'3- REND Y CONS'!E43)/2+'3- REND Y CONS'!E35*'5-PRECIOS SIN IVA'!E45*(1+'3- REND Y CONS'!E43)/2+'3- REND Y CONS'!E33*'5-PRECIOS SIN IVA'!E43*(1+'3- REND Y CONS'!E44)/2+'3- REND Y CONS'!E36*'5-PRECIOS SIN IVA'!E46)/'2- EMP. REP'!E5</f>
        <v>11.200580481256727</v>
      </c>
      <c r="F36" s="309">
        <f>+'5-PRECIOS SIN IVA'!F39*('3- REND Y CONS'!F34*'5-PRECIOS SIN IVA'!F44*(1+'3- REND Y CONS'!F43)/2+'3- REND Y CONS'!F35*'5-PRECIOS SIN IVA'!F45*(1+'3- REND Y CONS'!F43)/2+'3- REND Y CONS'!F33*'5-PRECIOS SIN IVA'!F43*(1+'3- REND Y CONS'!F44)/2+'3- REND Y CONS'!F36*'5-PRECIOS SIN IVA'!F46)/'2- EMP. REP'!F5</f>
        <v>10.207047831684664</v>
      </c>
      <c r="G36" s="309">
        <f>+'5-PRECIOS SIN IVA'!G39*('3- REND Y CONS'!G34*'5-PRECIOS SIN IVA'!G44*(1+'3- REND Y CONS'!G43)/2+'3- REND Y CONS'!G35*'5-PRECIOS SIN IVA'!G45*(1+'3- REND Y CONS'!G43)/2+'3- REND Y CONS'!G33*'5-PRECIOS SIN IVA'!G43*(1+'3- REND Y CONS'!G44)/2+'3- REND Y CONS'!G36*'5-PRECIOS SIN IVA'!G46)/'2- EMP. REP'!G5</f>
        <v>13.756296902264623</v>
      </c>
      <c r="H36" s="309">
        <f>+'5-PRECIOS SIN IVA'!H39*('3- REND Y CONS'!H34*'5-PRECIOS SIN IVA'!H44*(1+'3- REND Y CONS'!H43)/2+'3- REND Y CONS'!H35*'5-PRECIOS SIN IVA'!H45*(1+'3- REND Y CONS'!H43)/2+'3- REND Y CONS'!H33*'5-PRECIOS SIN IVA'!H43*(1+'3- REND Y CONS'!H44)/2+'3- REND Y CONS'!H36*'5-PRECIOS SIN IVA'!H46)/'2- EMP. REP'!H5</f>
        <v>10.10091910938562</v>
      </c>
      <c r="I36" s="309">
        <f>+'5-PRECIOS SIN IVA'!I39*('3- REND Y CONS'!I34*'5-PRECIOS SIN IVA'!I44*(1+'3- REND Y CONS'!I43)/2+'3- REND Y CONS'!I35*'5-PRECIOS SIN IVA'!I45*(1+'3- REND Y CONS'!I43)/2+'3- REND Y CONS'!I33*'5-PRECIOS SIN IVA'!I43*(1+'3- REND Y CONS'!I44)/2+'3- REND Y CONS'!I36*'5-PRECIOS SIN IVA'!I46)/'2- EMP. REP'!I5</f>
        <v>14.859148742210403</v>
      </c>
      <c r="J36" s="315">
        <f>+'5-PRECIOS SIN IVA'!J39*('3- REND Y CONS'!J34*'5-PRECIOS SIN IVA'!J44*(1+'3- REND Y CONS'!J43)/2+'3- REND Y CONS'!J35*'5-PRECIOS SIN IVA'!J45*(1+'3- REND Y CONS'!J43)/2+'3- REND Y CONS'!J33*'5-PRECIOS SIN IVA'!J43*(1+'3- REND Y CONS'!J44)/2+'3- REND Y CONS'!J36*'5-PRECIOS SIN IVA'!J46)/'2- EMP. REP'!J5</f>
        <v>13.805544596755716</v>
      </c>
      <c r="K36" s="594"/>
      <c r="L36" s="632" t="str">
        <f t="shared" si="2"/>
        <v>. Inmuebles</v>
      </c>
      <c r="M36" s="628"/>
      <c r="N36" s="619"/>
      <c r="O36" s="619"/>
      <c r="P36" s="619"/>
      <c r="Q36" s="619"/>
      <c r="R36" s="619"/>
      <c r="S36" s="619"/>
      <c r="T36" s="619"/>
      <c r="U36" s="622"/>
      <c r="V36" s="632" t="str">
        <f t="shared" si="29"/>
        <v>. Inmuebles</v>
      </c>
      <c r="W36" s="628"/>
      <c r="X36" s="619"/>
      <c r="Y36" s="619"/>
      <c r="Z36" s="619"/>
      <c r="AA36" s="619"/>
      <c r="AB36" s="619"/>
      <c r="AC36" s="619"/>
      <c r="AD36" s="619"/>
      <c r="AE36" s="622"/>
      <c r="AF36" s="632" t="str">
        <f t="shared" si="30"/>
        <v>. Inmuebles</v>
      </c>
      <c r="AG36" s="628"/>
      <c r="AH36" s="619"/>
      <c r="AI36" s="619"/>
      <c r="AJ36" s="619"/>
      <c r="AK36" s="619"/>
      <c r="AL36" s="619"/>
      <c r="AM36" s="619"/>
      <c r="AN36" s="619"/>
      <c r="AO36" s="622"/>
    </row>
    <row r="37" spans="1:41" ht="12.45" customHeight="1" x14ac:dyDescent="0.25">
      <c r="A37" s="319" t="s">
        <v>174</v>
      </c>
      <c r="B37" s="163">
        <f>+'4- PERSONAL'!B135*'4- PERSONAL'!B136*'4- PERSONAL'!B26/'2- EMP. REP'!B5</f>
        <v>0.60584806891686183</v>
      </c>
      <c r="C37" s="163">
        <f>+'4- PERSONAL'!C135*'4- PERSONAL'!C136*'4- PERSONAL'!C26/'2- EMP. REP'!C5</f>
        <v>0.5758403159913249</v>
      </c>
      <c r="D37" s="163">
        <f>+'4- PERSONAL'!D135*'4- PERSONAL'!D136*'4- PERSONAL'!D26/'2- EMP. REP'!D5</f>
        <v>0.43647395990618726</v>
      </c>
      <c r="E37" s="163">
        <f>+'4- PERSONAL'!E135*'4- PERSONAL'!E136*'4- PERSONAL'!E26/'2- EMP. REP'!E5</f>
        <v>0.29590830781482441</v>
      </c>
      <c r="F37" s="163">
        <f>+'4- PERSONAL'!F135*'4- PERSONAL'!F136*'4- PERSONAL'!F26/'2- EMP. REP'!F5</f>
        <v>0.38253907597147957</v>
      </c>
      <c r="G37" s="163">
        <f>+'4- PERSONAL'!G135*'4- PERSONAL'!G136*'4- PERSONAL'!G26/'2- EMP. REP'!G5</f>
        <v>0.5155576022134789</v>
      </c>
      <c r="H37" s="163">
        <f>+'4- PERSONAL'!H135*'4- PERSONAL'!H136*'4- PERSONAL'!H26/'2- EMP. REP'!H5</f>
        <v>0.37856159060727024</v>
      </c>
      <c r="I37" s="163">
        <f>+'4- PERSONAL'!I135*'4- PERSONAL'!I136*'4- PERSONAL'!I26/'2- EMP. REP'!I5</f>
        <v>0.53943544817693023</v>
      </c>
      <c r="J37" s="704">
        <f>+'4- PERSONAL'!J135*'4- PERSONAL'!J136*'4- PERSONAL'!J26/'2- EMP. REP'!J5</f>
        <v>0.50118618947007687</v>
      </c>
      <c r="K37" s="594"/>
      <c r="L37" s="641" t="str">
        <f t="shared" si="2"/>
        <v>14. LICENCIA NACIONAL HABILITANTE</v>
      </c>
      <c r="M37" s="642">
        <f t="shared" si="17"/>
        <v>1.5631689899905482E-4</v>
      </c>
      <c r="N37" s="643">
        <f t="shared" si="18"/>
        <v>1.6634744794205203E-4</v>
      </c>
      <c r="O37" s="643">
        <f t="shared" si="19"/>
        <v>1.5654150298883735E-4</v>
      </c>
      <c r="P37" s="643">
        <f t="shared" si="20"/>
        <v>1.2580053536861784E-4</v>
      </c>
      <c r="Q37" s="643">
        <f t="shared" si="21"/>
        <v>1.6092682784229389E-4</v>
      </c>
      <c r="R37" s="643">
        <f t="shared" si="22"/>
        <v>1.6751035825032727E-4</v>
      </c>
      <c r="S37" s="643">
        <f t="shared" si="23"/>
        <v>1.5294820153446544E-4</v>
      </c>
      <c r="T37" s="643">
        <f t="shared" si="24"/>
        <v>1.7353079882709283E-4</v>
      </c>
      <c r="U37" s="644">
        <f t="shared" si="25"/>
        <v>1.7014559013146468E-4</v>
      </c>
      <c r="V37" s="660" t="str">
        <f t="shared" si="29"/>
        <v>14. LICENCIA NACIONAL HABILITANTE</v>
      </c>
      <c r="W37" s="663">
        <f>+B37/'[1]1-COSTO X KM'!B37-1</f>
        <v>-3.6502875374081811E-2</v>
      </c>
      <c r="X37" s="664">
        <f>+C37/'[1]1-COSTO X KM'!C37-1</f>
        <v>0.13691236656917516</v>
      </c>
      <c r="Y37" s="664">
        <f>+D37/'[1]1-COSTO X KM'!D37-1</f>
        <v>0.14591101296544218</v>
      </c>
      <c r="Z37" s="664">
        <f>+E37/'[1]1-COSTO X KM'!E37-1</f>
        <v>6.6687284341464981E-2</v>
      </c>
      <c r="AA37" s="664">
        <f>+F37/'[1]1-COSTO X KM'!F37-1</f>
        <v>0.23268770351281542</v>
      </c>
      <c r="AB37" s="664">
        <f>+G37/'[1]1-COSTO X KM'!G37-1</f>
        <v>1.4639258571680358E-4</v>
      </c>
      <c r="AC37" s="664">
        <f>+H37/'[1]1-COSTO X KM'!H37-1</f>
        <v>0.10480638212395288</v>
      </c>
      <c r="AD37" s="664">
        <f>+I37/'[1]1-COSTO X KM'!I37-1</f>
        <v>1.6550487772164724E-2</v>
      </c>
      <c r="AE37" s="665">
        <f>+J37/'[1]1-COSTO X KM'!J37-1</f>
        <v>4.5033677497119617E-2</v>
      </c>
      <c r="AF37" s="676" t="str">
        <f t="shared" si="30"/>
        <v>14. LICENCIA NACIONAL HABILITANTE</v>
      </c>
      <c r="AG37" s="677">
        <f>+B37/'[2]1-COSTO X KM'!B37-1</f>
        <v>-4.3860679595846275E-2</v>
      </c>
      <c r="AH37" s="678">
        <f>+C37/'[2]1-COSTO X KM'!C37-1</f>
        <v>-6.0871408318718956E-3</v>
      </c>
      <c r="AI37" s="678">
        <f>+D37/'[2]1-COSTO X KM'!D37-1</f>
        <v>4.5089550123447175E-3</v>
      </c>
      <c r="AJ37" s="678">
        <f>+E37/'[2]1-COSTO X KM'!E37-1</f>
        <v>-5.6579245515532173E-2</v>
      </c>
      <c r="AK37" s="678">
        <f>+F37/'[2]1-COSTO X KM'!F37-1</f>
        <v>9.8510161191560863E-2</v>
      </c>
      <c r="AL37" s="678">
        <f>+G37/'[2]1-COSTO X KM'!G37-1</f>
        <v>1.1873131793627145E-3</v>
      </c>
      <c r="AM37" s="678">
        <f>+H37/'[2]1-COSTO X KM'!H37-1</f>
        <v>6.6887624723287686E-2</v>
      </c>
      <c r="AN37" s="678">
        <f>+I37/'[2]1-COSTO X KM'!I37-1</f>
        <v>1.6863275562156721E-2</v>
      </c>
      <c r="AO37" s="679">
        <f>+J37/'[2]1-COSTO X KM'!J37-1</f>
        <v>5.0321748000735855E-2</v>
      </c>
    </row>
    <row r="38" spans="1:41" ht="12.45" customHeight="1" x14ac:dyDescent="0.25">
      <c r="A38" s="319" t="s">
        <v>175</v>
      </c>
      <c r="B38" s="163">
        <f>+'3- REND Y CONS'!B28*'5-PRECIOS SIN IVA'!B23/'2- EMP. REP'!B8</f>
        <v>8.4174350654711585</v>
      </c>
      <c r="C38" s="163">
        <f>+'3- REND Y CONS'!C28*'5-PRECIOS SIN IVA'!C23/'2- EMP. REP'!C8</f>
        <v>7.7497556945879058</v>
      </c>
      <c r="D38" s="163">
        <f>+'3- REND Y CONS'!D28*'5-PRECIOS SIN IVA'!D23/'2- EMP. REP'!D8</f>
        <v>5.8741398654922703</v>
      </c>
      <c r="E38" s="163">
        <f>+'3- REND Y CONS'!E28*'5-PRECIOS SIN IVA'!E23/'2- EMP. REP'!E8</f>
        <v>3.8719298741194144</v>
      </c>
      <c r="F38" s="163">
        <f>+'3- REND Y CONS'!F28*'5-PRECIOS SIN IVA'!F23/'2- EMP. REP'!F8</f>
        <v>5.1482751382364675</v>
      </c>
      <c r="G38" s="163">
        <f>+'3- REND Y CONS'!G28*'5-PRECIOS SIN IVA'!G23/'2- EMP. REP'!G8</f>
        <v>6.9384608070793483</v>
      </c>
      <c r="H38" s="163">
        <f>+'3- REND Y CONS'!H28*'5-PRECIOS SIN IVA'!H23/'2- EMP. REP'!H8</f>
        <v>5.0947454721199925</v>
      </c>
      <c r="I38" s="163">
        <f>+'3- REND Y CONS'!I28*'5-PRECIOS SIN IVA'!I23/'2- EMP. REP'!I8</f>
        <v>7.494722010355602</v>
      </c>
      <c r="J38" s="704">
        <f>+'3- REND Y CONS'!J28*'5-PRECIOS SIN IVA'!J23/'2- EMP. REP'!J8</f>
        <v>6.9633005732237683</v>
      </c>
      <c r="K38" s="594"/>
      <c r="L38" s="641" t="str">
        <f t="shared" si="2"/>
        <v>15. CONTROL TECNICO DEL MATERIAL RODANTE</v>
      </c>
      <c r="M38" s="642">
        <f t="shared" si="17"/>
        <v>2.1718107467318146E-3</v>
      </c>
      <c r="N38" s="643">
        <f t="shared" si="18"/>
        <v>2.2387318952299686E-3</v>
      </c>
      <c r="O38" s="643">
        <f t="shared" si="19"/>
        <v>2.1067618409777483E-3</v>
      </c>
      <c r="P38" s="643">
        <f t="shared" si="20"/>
        <v>1.6460871094527787E-3</v>
      </c>
      <c r="Q38" s="643">
        <f t="shared" si="21"/>
        <v>2.1657802794439506E-3</v>
      </c>
      <c r="R38" s="643">
        <f t="shared" si="22"/>
        <v>2.254382537488902E-3</v>
      </c>
      <c r="S38" s="643">
        <f t="shared" si="23"/>
        <v>2.0584025864499545E-3</v>
      </c>
      <c r="T38" s="643">
        <f t="shared" si="24"/>
        <v>2.4109744768153027E-3</v>
      </c>
      <c r="U38" s="644">
        <f t="shared" si="25"/>
        <v>2.3639416053076634E-3</v>
      </c>
      <c r="V38" s="660" t="str">
        <f t="shared" si="29"/>
        <v>15. CONTROL TECNICO DEL MATERIAL RODANTE</v>
      </c>
      <c r="W38" s="663">
        <f>+B38/'[1]1-COSTO X KM'!B38-1</f>
        <v>0.20194566722877538</v>
      </c>
      <c r="X38" s="664">
        <f>+C38/'[1]1-COSTO X KM'!C38-1</f>
        <v>0.418217824026069</v>
      </c>
      <c r="Y38" s="664">
        <f>+D38/'[1]1-COSTO X KM'!D38-1</f>
        <v>0.42944299941034769</v>
      </c>
      <c r="Z38" s="664">
        <f>+E38/'[1]1-COSTO X KM'!E38-1</f>
        <v>0.33061693939131032</v>
      </c>
      <c r="AA38" s="664">
        <f>+F38/'[1]1-COSTO X KM'!F38-1</f>
        <v>0.53769078777389456</v>
      </c>
      <c r="AB38" s="664">
        <f>+G38/'[1]1-COSTO X KM'!G38-1</f>
        <v>0.24761193765600087</v>
      </c>
      <c r="AC38" s="664">
        <f>+H38/'[1]1-COSTO X KM'!H38-1</f>
        <v>0.3781678775772308</v>
      </c>
      <c r="AD38" s="664">
        <f>+I38/'[1]1-COSTO X KM'!I38-1</f>
        <v>0.26812880191151067</v>
      </c>
      <c r="AE38" s="665">
        <f>+J38/'[1]1-COSTO X KM'!J38-1</f>
        <v>0.30366107866019032</v>
      </c>
      <c r="AF38" s="676" t="str">
        <f t="shared" si="30"/>
        <v>15. CONTROL TECNICO DEL MATERIAL RODANTE</v>
      </c>
      <c r="AG38" s="677">
        <f>+B38/'[2]1-COSTO X KM'!B38-1</f>
        <v>0.1476368385596627</v>
      </c>
      <c r="AH38" s="678">
        <f>+C38/'[2]1-COSTO X KM'!C38-1</f>
        <v>0.19292491136246315</v>
      </c>
      <c r="AI38" s="678">
        <f>+D38/'[2]1-COSTO X KM'!D38-1</f>
        <v>0.20564267286353655</v>
      </c>
      <c r="AJ38" s="678">
        <f>+E38/'[2]1-COSTO X KM'!E38-1</f>
        <v>0.13232272783233712</v>
      </c>
      <c r="AK38" s="678">
        <f>+F38/'[2]1-COSTO X KM'!F38-1</f>
        <v>0.3184658238218212</v>
      </c>
      <c r="AL38" s="678">
        <f>+G38/'[2]1-COSTO X KM'!G38-1</f>
        <v>0.20165593574404306</v>
      </c>
      <c r="AM38" s="678">
        <f>+H38/'[2]1-COSTO X KM'!H38-1</f>
        <v>0.28051147886541949</v>
      </c>
      <c r="AN38" s="678">
        <f>+I38/'[2]1-COSTO X KM'!I38-1</f>
        <v>0.22052271035176951</v>
      </c>
      <c r="AO38" s="679">
        <f>+J38/'[2]1-COSTO X KM'!J38-1</f>
        <v>0.26068231336466119</v>
      </c>
    </row>
    <row r="39" spans="1:41" ht="12.45" customHeight="1" x14ac:dyDescent="0.25">
      <c r="A39" s="319" t="s">
        <v>176</v>
      </c>
      <c r="B39" s="163">
        <f>+'2- EMP. REP'!B6*'5-PRECIOS SIN IVA'!B38/('2- EMP. REP'!B5/12)</f>
        <v>7.6485773058054003E-3</v>
      </c>
      <c r="C39" s="163">
        <f>+'2- EMP. REP'!C6*'5-PRECIOS SIN IVA'!C38/('2- EMP. REP'!C5/12)</f>
        <v>7.0418845016469852E-3</v>
      </c>
      <c r="D39" s="163">
        <f>+'2- EMP. REP'!D6*'5-PRECIOS SIN IVA'!D38/('2- EMP. REP'!D5/12)</f>
        <v>5.3375894814599459E-3</v>
      </c>
      <c r="E39" s="163">
        <f>+'2- EMP. REP'!E6*'5-PRECIOS SIN IVA'!E38/('2- EMP. REP'!E5/12)</f>
        <v>3.5182635487550446E-3</v>
      </c>
      <c r="F39" s="163">
        <f>+'2- EMP. REP'!F6*'5-PRECIOS SIN IVA'!F38/('2- EMP. REP'!F5/12)</f>
        <v>4.6780260352567993E-3</v>
      </c>
      <c r="G39" s="163">
        <f>+'2- EMP. REP'!G6*'5-PRECIOS SIN IVA'!G38/('2- EMP. REP'!G5/12)</f>
        <v>6.3046941798150721E-3</v>
      </c>
      <c r="H39" s="163">
        <f>+'2- EMP. REP'!H6*'5-PRECIOS SIN IVA'!H38/('2- EMP. REP'!H5/12)</f>
        <v>4.6293858276090687E-3</v>
      </c>
      <c r="I39" s="163">
        <f>+'2- EMP. REP'!I6*'5-PRECIOS SIN IVA'!I38/('2- EMP. REP'!I5/12)</f>
        <v>6.8101458741122375E-3</v>
      </c>
      <c r="J39" s="704">
        <f>+'2- EMP. REP'!J6*'5-PRECIOS SIN IVA'!J38/('2- EMP. REP'!J5/12)</f>
        <v>6.3272650544503959E-3</v>
      </c>
      <c r="K39" s="594"/>
      <c r="L39" s="641" t="str">
        <f t="shared" si="2"/>
        <v>16. A.C.TRANS</v>
      </c>
      <c r="M39" s="642">
        <f t="shared" si="17"/>
        <v>1.973435168879136E-6</v>
      </c>
      <c r="N39" s="643">
        <f t="shared" si="18"/>
        <v>2.0342436662064352E-6</v>
      </c>
      <c r="O39" s="643">
        <f t="shared" si="19"/>
        <v>1.9143279015883041E-6</v>
      </c>
      <c r="P39" s="643">
        <f t="shared" si="20"/>
        <v>1.4957317057764087E-6</v>
      </c>
      <c r="Q39" s="643">
        <f t="shared" si="21"/>
        <v>1.967955531093682E-6</v>
      </c>
      <c r="R39" s="643">
        <f t="shared" si="22"/>
        <v>2.0484647616199285E-6</v>
      </c>
      <c r="S39" s="643">
        <f t="shared" si="23"/>
        <v>1.8703858344585889E-6</v>
      </c>
      <c r="T39" s="643">
        <f t="shared" si="24"/>
        <v>2.1907534212992921E-6</v>
      </c>
      <c r="U39" s="644">
        <f t="shared" si="25"/>
        <v>2.1480165839085476E-6</v>
      </c>
      <c r="V39" s="660" t="str">
        <f t="shared" si="29"/>
        <v>16. A.C.TRANS</v>
      </c>
      <c r="W39" s="663">
        <f>+B39/'[1]1-COSTO X KM'!B39-1</f>
        <v>-3.6461882217040276E-2</v>
      </c>
      <c r="X39" s="664">
        <f>+C39/'[1]1-COSTO X KM'!C39-1</f>
        <v>0.13691239964196011</v>
      </c>
      <c r="Y39" s="664">
        <f>+D39/'[1]1-COSTO X KM'!D39-1</f>
        <v>0.14591104629999774</v>
      </c>
      <c r="Z39" s="664">
        <f>+E39/'[1]1-COSTO X KM'!E39-1</f>
        <v>6.6687269007138728E-2</v>
      </c>
      <c r="AA39" s="664">
        <f>+F39/'[1]1-COSTO X KM'!F39-1</f>
        <v>0.23268773937170484</v>
      </c>
      <c r="AB39" s="664">
        <f>+G39/'[1]1-COSTO X KM'!G39-1</f>
        <v>1.4642167997869215E-4</v>
      </c>
      <c r="AC39" s="664">
        <f>+H39/'[1]1-COSTO X KM'!H39-1</f>
        <v>0.10480641426277448</v>
      </c>
      <c r="AD39" s="664">
        <f>+I39/'[1]1-COSTO X KM'!I39-1</f>
        <v>1.6593738149067949E-2</v>
      </c>
      <c r="AE39" s="665">
        <f>+J39/'[1]1-COSTO X KM'!J39-1</f>
        <v>4.507813972597341E-2</v>
      </c>
      <c r="AF39" s="676" t="str">
        <f t="shared" si="30"/>
        <v>16. A.C.TRANS</v>
      </c>
      <c r="AG39" s="677">
        <f>+B39/'[2]1-COSTO X KM'!B39-1</f>
        <v>-4.3819941527798556E-2</v>
      </c>
      <c r="AH39" s="678">
        <f>+C39/'[2]1-COSTO X KM'!C39-1</f>
        <v>-6.0871408318718956E-3</v>
      </c>
      <c r="AI39" s="678">
        <f>+D39/'[2]1-COSTO X KM'!D39-1</f>
        <v>4.5089550123444955E-3</v>
      </c>
      <c r="AJ39" s="678">
        <f>+E39/'[2]1-COSTO X KM'!E39-1</f>
        <v>-5.6579245515532062E-2</v>
      </c>
      <c r="AK39" s="678">
        <f>+F39/'[2]1-COSTO X KM'!F39-1</f>
        <v>9.8510161191560641E-2</v>
      </c>
      <c r="AL39" s="678">
        <f>+G39/'[2]1-COSTO X KM'!G39-1</f>
        <v>1.1873131793627145E-3</v>
      </c>
      <c r="AM39" s="678">
        <f>+H39/'[2]1-COSTO X KM'!H39-1</f>
        <v>6.6887624723287686E-2</v>
      </c>
      <c r="AN39" s="678">
        <f>+I39/'[2]1-COSTO X KM'!I39-1</f>
        <v>1.6906600885601586E-2</v>
      </c>
      <c r="AO39" s="679">
        <f>+J39/'[2]1-COSTO X KM'!J39-1</f>
        <v>5.0366498883718025E-2</v>
      </c>
    </row>
    <row r="40" spans="1:41" ht="12.45" customHeight="1" x14ac:dyDescent="0.25">
      <c r="A40" s="319" t="s">
        <v>177</v>
      </c>
      <c r="B40" s="405">
        <v>0</v>
      </c>
      <c r="C40" s="405">
        <v>0</v>
      </c>
      <c r="D40" s="405">
        <v>0</v>
      </c>
      <c r="E40" s="405">
        <v>0.17299999999999999</v>
      </c>
      <c r="F40" s="405">
        <v>1.4E-2</v>
      </c>
      <c r="G40" s="405">
        <v>0</v>
      </c>
      <c r="H40" s="405">
        <v>0</v>
      </c>
      <c r="I40" s="405">
        <v>0</v>
      </c>
      <c r="J40" s="708">
        <v>0</v>
      </c>
      <c r="K40" s="594"/>
      <c r="L40" s="641" t="str">
        <f t="shared" si="2"/>
        <v>17. PEAJES</v>
      </c>
      <c r="M40" s="642">
        <f t="shared" si="17"/>
        <v>0</v>
      </c>
      <c r="N40" s="643">
        <f t="shared" si="18"/>
        <v>0</v>
      </c>
      <c r="O40" s="643">
        <f t="shared" si="19"/>
        <v>0</v>
      </c>
      <c r="P40" s="643">
        <f t="shared" si="20"/>
        <v>7.354809596082782E-5</v>
      </c>
      <c r="Q40" s="643">
        <f t="shared" si="21"/>
        <v>5.8895305899679808E-6</v>
      </c>
      <c r="R40" s="643">
        <f t="shared" si="22"/>
        <v>0</v>
      </c>
      <c r="S40" s="643">
        <f t="shared" si="23"/>
        <v>0</v>
      </c>
      <c r="T40" s="643">
        <f t="shared" si="24"/>
        <v>0</v>
      </c>
      <c r="U40" s="644">
        <f t="shared" si="25"/>
        <v>0</v>
      </c>
      <c r="V40" s="660" t="str">
        <f t="shared" si="29"/>
        <v>17. PEAJES</v>
      </c>
      <c r="W40" s="663"/>
      <c r="X40" s="664"/>
      <c r="Y40" s="664"/>
      <c r="Z40" s="664">
        <f>+E40/'[1]1-COSTO X KM'!E40-1</f>
        <v>0</v>
      </c>
      <c r="AA40" s="664">
        <f>+F40/'[1]1-COSTO X KM'!F40-1</f>
        <v>0</v>
      </c>
      <c r="AB40" s="664"/>
      <c r="AC40" s="664"/>
      <c r="AD40" s="664"/>
      <c r="AE40" s="665"/>
      <c r="AF40" s="676" t="str">
        <f t="shared" si="30"/>
        <v>17. PEAJES</v>
      </c>
      <c r="AG40" s="677" t="e">
        <f>+B40/'[2]1-COSTO X KM'!B40-1</f>
        <v>#DIV/0!</v>
      </c>
      <c r="AH40" s="678" t="e">
        <f>+C40/'[2]1-COSTO X KM'!C40-1</f>
        <v>#DIV/0!</v>
      </c>
      <c r="AI40" s="678" t="e">
        <f>+D40/'[2]1-COSTO X KM'!D40-1</f>
        <v>#DIV/0!</v>
      </c>
      <c r="AJ40" s="678">
        <f>+E40/'[2]1-COSTO X KM'!E40-1</f>
        <v>0</v>
      </c>
      <c r="AK40" s="678">
        <f>+F40/'[2]1-COSTO X KM'!F40-1</f>
        <v>0</v>
      </c>
      <c r="AL40" s="678" t="e">
        <f>+G40/'[2]1-COSTO X KM'!G40-1</f>
        <v>#DIV/0!</v>
      </c>
      <c r="AM40" s="678" t="e">
        <f>+H40/'[2]1-COSTO X KM'!H40-1</f>
        <v>#DIV/0!</v>
      </c>
      <c r="AN40" s="678" t="e">
        <f>+I40/'[2]1-COSTO X KM'!I40-1</f>
        <v>#DIV/0!</v>
      </c>
      <c r="AO40" s="679" t="e">
        <f>+J40/'[2]1-COSTO X KM'!J40-1</f>
        <v>#DIV/0!</v>
      </c>
    </row>
    <row r="41" spans="1:41" ht="12.45" customHeight="1" x14ac:dyDescent="0.25">
      <c r="A41" s="319" t="s">
        <v>178</v>
      </c>
      <c r="B41" s="164">
        <f>+'4- PERSONAL'!B157/'2- EMP. REP'!B5</f>
        <v>1.3108240474837773</v>
      </c>
      <c r="C41" s="164">
        <f>+'4- PERSONAL'!C157/'2- EMP. REP'!C5</f>
        <v>0.97205067722248206</v>
      </c>
      <c r="D41" s="164">
        <f>+'4- PERSONAL'!D157/'2- EMP. REP'!D5</f>
        <v>0.27563327448614627</v>
      </c>
      <c r="E41" s="164">
        <f>+'4- PERSONAL'!E157/'2- EMP. REP'!E5</f>
        <v>0.34992700117027697</v>
      </c>
      <c r="F41" s="164">
        <f>+'4- PERSONAL'!F157/'2- EMP. REP'!F5</f>
        <v>2.4129491009657129</v>
      </c>
      <c r="G41" s="164">
        <f>+'4- PERSONAL'!G157/'2- EMP. REP'!G5</f>
        <v>1.4658826921267269</v>
      </c>
      <c r="H41" s="164">
        <f>+'4- PERSONAL'!H157/'2- EMP. REP'!H5</f>
        <v>0.92048563757199819</v>
      </c>
      <c r="I41" s="164">
        <f>+'4- PERSONAL'!I157/'2- EMP. REP'!I5</f>
        <v>1.8768010819579026</v>
      </c>
      <c r="J41" s="705">
        <f>+'4- PERSONAL'!J157/'2- EMP. REP'!J5</f>
        <v>2.8832177544742765</v>
      </c>
      <c r="K41" s="594"/>
      <c r="L41" s="641" t="str">
        <f t="shared" si="2"/>
        <v>18. SERVICIO DE VIGILANCIA</v>
      </c>
      <c r="M41" s="642">
        <f t="shared" si="17"/>
        <v>3.3821012354199985E-4</v>
      </c>
      <c r="N41" s="643">
        <f t="shared" si="18"/>
        <v>2.8080380087305184E-4</v>
      </c>
      <c r="O41" s="643">
        <f t="shared" si="19"/>
        <v>9.8855947949495187E-5</v>
      </c>
      <c r="P41" s="643">
        <f t="shared" si="20"/>
        <v>1.4876569168414014E-4</v>
      </c>
      <c r="Q41" s="643">
        <f t="shared" si="21"/>
        <v>1.0150812530123788E-3</v>
      </c>
      <c r="R41" s="643">
        <f t="shared" si="22"/>
        <v>4.7628147438203463E-4</v>
      </c>
      <c r="S41" s="643">
        <f t="shared" si="23"/>
        <v>3.7189885687847986E-4</v>
      </c>
      <c r="T41" s="643">
        <f t="shared" si="24"/>
        <v>6.037474772790344E-4</v>
      </c>
      <c r="U41" s="644">
        <f t="shared" si="25"/>
        <v>9.7881146092879579E-4</v>
      </c>
      <c r="V41" s="660" t="str">
        <f t="shared" si="29"/>
        <v>18. SERVICIO DE VIGILANCIA</v>
      </c>
      <c r="W41" s="663">
        <f>+B41/'[1]1-COSTO X KM'!B41-1</f>
        <v>3.5587424700043169E-3</v>
      </c>
      <c r="X41" s="664">
        <f>+C41/'[1]1-COSTO X KM'!C41-1</f>
        <v>0.11435835262523542</v>
      </c>
      <c r="Y41" s="664">
        <f>+D41/'[1]1-COSTO X KM'!D41-1</f>
        <v>9.9754232243684182E-2</v>
      </c>
      <c r="Z41" s="664">
        <f>+E41/'[1]1-COSTO X KM'!E41-1</f>
        <v>9.0009372361095519E-2</v>
      </c>
      <c r="AA41" s="664">
        <f>+F41/'[1]1-COSTO X KM'!F41-1</f>
        <v>0.22931983299961867</v>
      </c>
      <c r="AB41" s="664">
        <f>+G41/'[1]1-COSTO X KM'!G41-1</f>
        <v>-3.6954514837179264E-2</v>
      </c>
      <c r="AC41" s="664">
        <f>+H41/'[1]1-COSTO X KM'!H41-1</f>
        <v>-1.6885324733787455E-3</v>
      </c>
      <c r="AD41" s="664">
        <f>+I41/'[1]1-COSTO X KM'!I41-1</f>
        <v>-2.3732587023410412E-2</v>
      </c>
      <c r="AE41" s="665">
        <f>+J41/'[1]1-COSTO X KM'!J41-1</f>
        <v>-4.0805999278294758E-2</v>
      </c>
      <c r="AF41" s="676" t="str">
        <f t="shared" si="30"/>
        <v>18. SERVICIO DE VIGILANCIA</v>
      </c>
      <c r="AG41" s="677">
        <f>+B41/'[2]1-COSTO X KM'!B41-1</f>
        <v>-7.4664459543031025E-2</v>
      </c>
      <c r="AH41" s="678">
        <f>+C41/'[2]1-COSTO X KM'!C41-1</f>
        <v>-2.3135336491816205E-2</v>
      </c>
      <c r="AI41" s="678">
        <f>+D41/'[2]1-COSTO X KM'!D41-1</f>
        <v>-3.3311015660790422E-2</v>
      </c>
      <c r="AJ41" s="678">
        <f>+E41/'[2]1-COSTO X KM'!E41-1</f>
        <v>-3.3311020629143817E-2</v>
      </c>
      <c r="AK41" s="678">
        <f>+F41/'[2]1-COSTO X KM'!F41-1</f>
        <v>9.8510244220379795E-2</v>
      </c>
      <c r="AL41" s="678">
        <f>+G41/'[2]1-COSTO X KM'!G41-1</f>
        <v>-3.3311008982128576E-2</v>
      </c>
      <c r="AM41" s="678">
        <f>+H41/'[2]1-COSTO X KM'!H41-1</f>
        <v>-3.3311011971607796E-2</v>
      </c>
      <c r="AN41" s="678">
        <f>+I41/'[2]1-COSTO X KM'!I41-1</f>
        <v>-2.0756606554605761E-2</v>
      </c>
      <c r="AO41" s="679">
        <f>+J41/'[2]1-COSTO X KM'!J41-1</f>
        <v>-3.33110087885502E-2</v>
      </c>
    </row>
    <row r="42" spans="1:41" ht="12.45" customHeight="1" thickBot="1" x14ac:dyDescent="0.3">
      <c r="A42" s="320" t="s">
        <v>179</v>
      </c>
      <c r="B42" s="165">
        <f>+'5-PRECIOS SIN IVA'!B50/('2- EMP. REP'!B8)</f>
        <v>0</v>
      </c>
      <c r="C42" s="165">
        <f>+'5-PRECIOS SIN IVA'!C50/('2- EMP. REP'!C8*10)</f>
        <v>0</v>
      </c>
      <c r="D42" s="165">
        <f>+'5-PRECIOS SIN IVA'!D50/('2- EMP. REP'!D8*10)</f>
        <v>0</v>
      </c>
      <c r="E42" s="165">
        <f>+'5-PRECIOS SIN IVA'!E50/('2- EMP. REP'!E8*10)</f>
        <v>0</v>
      </c>
      <c r="F42" s="165">
        <f>+'5-PRECIOS SIN IVA'!F50/('2- EMP. REP'!F8*10)</f>
        <v>0</v>
      </c>
      <c r="G42" s="165">
        <f>+'5-PRECIOS SIN IVA'!G50/('2- EMP. REP'!G8*10)</f>
        <v>3.4922856315206672</v>
      </c>
      <c r="H42" s="165">
        <f>+'5-PRECIOS SIN IVA'!H50/('2- EMP. REP'!H8*10)</f>
        <v>2.5643016373870764</v>
      </c>
      <c r="I42" s="165">
        <f>+'5-PRECIOS SIN IVA'!I50/('2- EMP. REP'!I8*10)</f>
        <v>3.7722645867367852</v>
      </c>
      <c r="J42" s="709">
        <f>+'5-PRECIOS SIN IVA'!J50/('2- EMP. REP'!J8*10)</f>
        <v>3.5047880525630952</v>
      </c>
      <c r="K42" s="594"/>
      <c r="L42" s="648" t="str">
        <f t="shared" si="2"/>
        <v>19. CAMARAS DE SEGURIDAD</v>
      </c>
      <c r="M42" s="649">
        <f t="shared" si="17"/>
        <v>0</v>
      </c>
      <c r="N42" s="650">
        <f t="shared" si="18"/>
        <v>0</v>
      </c>
      <c r="O42" s="650">
        <f t="shared" si="19"/>
        <v>0</v>
      </c>
      <c r="P42" s="650">
        <f t="shared" si="20"/>
        <v>0</v>
      </c>
      <c r="Q42" s="650">
        <f t="shared" si="21"/>
        <v>0</v>
      </c>
      <c r="R42" s="650">
        <f t="shared" si="22"/>
        <v>1.134682166913847E-3</v>
      </c>
      <c r="S42" s="650">
        <f t="shared" si="23"/>
        <v>1.0360409860944461E-3</v>
      </c>
      <c r="T42" s="650">
        <f t="shared" si="24"/>
        <v>1.2134984627648773E-3</v>
      </c>
      <c r="U42" s="651">
        <f t="shared" si="25"/>
        <v>1.1898257454371814E-3</v>
      </c>
      <c r="V42" s="661" t="str">
        <f t="shared" si="29"/>
        <v>19. CAMARAS DE SEGURIDAD</v>
      </c>
      <c r="W42" s="669"/>
      <c r="X42" s="670"/>
      <c r="Y42" s="670"/>
      <c r="Z42" s="670"/>
      <c r="AA42" s="670"/>
      <c r="AB42" s="670">
        <f>+G42/'[1]1-COSTO X KM'!G42-1</f>
        <v>1.464216799789142E-4</v>
      </c>
      <c r="AC42" s="670">
        <f>+H42/'[1]1-COSTO X KM'!H42-1</f>
        <v>0.10480641426277471</v>
      </c>
      <c r="AD42" s="670">
        <f>+I42/'[1]1-COSTO X KM'!I42-1</f>
        <v>1.6593738149068171E-2</v>
      </c>
      <c r="AE42" s="671">
        <f>+J42/'[1]1-COSTO X KM'!J42-1</f>
        <v>4.5078139725973854E-2</v>
      </c>
      <c r="AF42" s="680" t="str">
        <f t="shared" si="30"/>
        <v>19. CAMARAS DE SEGURIDAD</v>
      </c>
      <c r="AG42" s="681">
        <f>+B42/'[2]1-COSTO X KM'!B42-1</f>
        <v>-1</v>
      </c>
      <c r="AH42" s="682" t="e">
        <f>+C42/'[2]1-COSTO X KM'!C42-1</f>
        <v>#DIV/0!</v>
      </c>
      <c r="AI42" s="682" t="e">
        <f>+D42/'[2]1-COSTO X KM'!D42-1</f>
        <v>#DIV/0!</v>
      </c>
      <c r="AJ42" s="682" t="e">
        <f>+E42/'[2]1-COSTO X KM'!E42-1</f>
        <v>#DIV/0!</v>
      </c>
      <c r="AK42" s="682" t="e">
        <f>+F42/'[2]1-COSTO X KM'!F42-1</f>
        <v>#DIV/0!</v>
      </c>
      <c r="AL42" s="682">
        <f>+G42/'[2]1-COSTO X KM'!G42-1</f>
        <v>1.1873131793629366E-3</v>
      </c>
      <c r="AM42" s="682">
        <f>+H42/'[2]1-COSTO X KM'!H42-1</f>
        <v>6.6887624723287908E-2</v>
      </c>
      <c r="AN42" s="682">
        <f>+I42/'[2]1-COSTO X KM'!I42-1</f>
        <v>1.6906600885601586E-2</v>
      </c>
      <c r="AO42" s="683">
        <f>+J42/'[2]1-COSTO X KM'!J42-1</f>
        <v>5.0366498883718247E-2</v>
      </c>
    </row>
    <row r="43" spans="1:41" ht="12.45" customHeight="1" x14ac:dyDescent="0.25">
      <c r="A43" s="148" t="s">
        <v>180</v>
      </c>
      <c r="B43" s="354">
        <f t="shared" ref="B43:J43" si="31">+B4+B5+B6+B7+B8+B11+B14+B19+B20+B25+B26+B31+B32+B37+B38+B39+B40+B41+B42</f>
        <v>3528.2960759260632</v>
      </c>
      <c r="C43" s="354">
        <f t="shared" si="31"/>
        <v>3146.8554363380067</v>
      </c>
      <c r="D43" s="354">
        <f t="shared" si="31"/>
        <v>2531.2696115358817</v>
      </c>
      <c r="E43" s="354">
        <f t="shared" si="31"/>
        <v>2126.7231446717719</v>
      </c>
      <c r="F43" s="354">
        <f t="shared" si="31"/>
        <v>2147.5000781707922</v>
      </c>
      <c r="G43" s="354">
        <f t="shared" si="31"/>
        <v>2793.5951631605139</v>
      </c>
      <c r="H43" s="354">
        <f t="shared" si="31"/>
        <v>2242.2861021009394</v>
      </c>
      <c r="I43" s="354">
        <f t="shared" si="31"/>
        <v>2821.6797428283453</v>
      </c>
      <c r="J43" s="355">
        <f t="shared" si="31"/>
        <v>2673.5532502491424</v>
      </c>
      <c r="K43" s="594"/>
      <c r="L43" s="631" t="str">
        <f t="shared" si="2"/>
        <v>SUBTOTAL SIN GASTOS GENERALES</v>
      </c>
      <c r="M43" s="627"/>
      <c r="N43" s="620"/>
      <c r="O43" s="620"/>
      <c r="P43" s="620"/>
      <c r="Q43" s="620"/>
      <c r="R43" s="620"/>
      <c r="S43" s="620"/>
      <c r="T43" s="620"/>
      <c r="U43" s="621"/>
      <c r="V43" s="631" t="str">
        <f t="shared" si="29"/>
        <v>SUBTOTAL SIN GASTOS GENERALES</v>
      </c>
      <c r="W43" s="627"/>
      <c r="X43" s="620"/>
      <c r="Y43" s="620"/>
      <c r="Z43" s="620"/>
      <c r="AA43" s="620"/>
      <c r="AB43" s="620"/>
      <c r="AC43" s="620"/>
      <c r="AD43" s="620"/>
      <c r="AE43" s="621"/>
      <c r="AF43" s="631" t="str">
        <f t="shared" si="30"/>
        <v>SUBTOTAL SIN GASTOS GENERALES</v>
      </c>
      <c r="AG43" s="627"/>
      <c r="AH43" s="620"/>
      <c r="AI43" s="620"/>
      <c r="AJ43" s="620"/>
      <c r="AK43" s="620"/>
      <c r="AL43" s="620"/>
      <c r="AM43" s="620"/>
      <c r="AN43" s="620"/>
      <c r="AO43" s="621"/>
    </row>
    <row r="44" spans="1:41" ht="12.45" customHeight="1" thickBot="1" x14ac:dyDescent="0.3">
      <c r="A44" s="321" t="s">
        <v>181</v>
      </c>
      <c r="B44" s="443">
        <f>+'5-PRECIOS SIN IVA'!B58*'1-COSTO X KM'!B43/(1-'5-PRECIOS SIN IVA'!B58)</f>
        <v>109.12255904925969</v>
      </c>
      <c r="C44" s="158">
        <f>+'5-PRECIOS SIN IVA'!C58*'1-COSTO X KM'!C43/(1-'5-PRECIOS SIN IVA'!C58)</f>
        <v>97.325425866123908</v>
      </c>
      <c r="D44" s="158">
        <f>+'5-PRECIOS SIN IVA'!D58*'1-COSTO X KM'!D43/(1-'5-PRECIOS SIN IVA'!D58)</f>
        <v>78.286689016573661</v>
      </c>
      <c r="E44" s="158">
        <f>+'5-PRECIOS SIN IVA'!E58*'1-COSTO X KM'!E43/(1-'5-PRECIOS SIN IVA'!E58)</f>
        <v>65.77494261871459</v>
      </c>
      <c r="F44" s="158">
        <f>+'5-PRECIOS SIN IVA'!F58*'1-COSTO X KM'!F43/(1-'5-PRECIOS SIN IVA'!F58)</f>
        <v>66.417528190849239</v>
      </c>
      <c r="G44" s="158">
        <f>+'5-PRECIOS SIN IVA'!G58*'1-COSTO X KM'!G43/(1-'5-PRECIOS SIN IVA'!G58)</f>
        <v>86.399850407026207</v>
      </c>
      <c r="H44" s="158">
        <f>+'5-PRECIOS SIN IVA'!H58*'1-COSTO X KM'!H43/(1-'5-PRECIOS SIN IVA'!H58)</f>
        <v>69.349054704152763</v>
      </c>
      <c r="I44" s="158">
        <f>+'5-PRECIOS SIN IVA'!I58*'1-COSTO X KM'!I43/(1-'5-PRECIOS SIN IVA'!I58)</f>
        <v>87.268445654484907</v>
      </c>
      <c r="J44" s="710">
        <f>+'5-PRECIOS SIN IVA'!J58*'1-COSTO X KM'!J43/(1-'5-PRECIOS SIN IVA'!J58)</f>
        <v>82.687213925231205</v>
      </c>
      <c r="K44" s="594"/>
      <c r="L44" s="648" t="str">
        <f t="shared" si="2"/>
        <v>20. GASTOS GENERALES</v>
      </c>
      <c r="M44" s="649">
        <f t="shared" ref="M44" si="32">+B44/B$51</f>
        <v>2.8155078668348921E-2</v>
      </c>
      <c r="N44" s="650">
        <f t="shared" ref="N44" si="33">+C44/C$51</f>
        <v>2.8115148875659815E-2</v>
      </c>
      <c r="O44" s="650">
        <f t="shared" ref="O44" si="34">+D44/D$51</f>
        <v>2.8077542049262636E-2</v>
      </c>
      <c r="P44" s="650">
        <f t="shared" ref="P44" si="35">+E44/E$51</f>
        <v>2.7963131743000951E-2</v>
      </c>
      <c r="Q44" s="650">
        <f t="shared" ref="Q44" si="36">+F44/F$51</f>
        <v>2.7940575999290524E-2</v>
      </c>
      <c r="R44" s="650">
        <f t="shared" ref="R44" si="37">+G44/G$51</f>
        <v>2.8072265508874813E-2</v>
      </c>
      <c r="S44" s="650">
        <f t="shared" ref="S44" si="38">+H44/H$51</f>
        <v>2.8018725243890926E-2</v>
      </c>
      <c r="T44" s="650">
        <f t="shared" ref="T44" si="39">+I44/I$51</f>
        <v>2.8073355464497539E-2</v>
      </c>
      <c r="U44" s="651">
        <f t="shared" ref="U44" si="40">+J44/J$51</f>
        <v>2.807113425154566E-2</v>
      </c>
      <c r="V44" s="661" t="str">
        <f t="shared" si="29"/>
        <v>20. GASTOS GENERALES</v>
      </c>
      <c r="W44" s="669">
        <f>+B44/'[1]1-COSTO X KM'!B44-1</f>
        <v>0.41244026966586156</v>
      </c>
      <c r="X44" s="670">
        <f>+C44/'[1]1-COSTO X KM'!C44-1</f>
        <v>0.49043111016245922</v>
      </c>
      <c r="Y44" s="670">
        <f>+D44/'[1]1-COSTO X KM'!D44-1</f>
        <v>0.49274721927697418</v>
      </c>
      <c r="Z44" s="670">
        <f>+E44/'[1]1-COSTO X KM'!E44-1</f>
        <v>0.43255219130268552</v>
      </c>
      <c r="AA44" s="670">
        <f>+F44/'[1]1-COSTO X KM'!F44-1</f>
        <v>0.51025183117063833</v>
      </c>
      <c r="AB44" s="670">
        <f>+G44/'[1]1-COSTO X KM'!G44-1</f>
        <v>0.36650434294782452</v>
      </c>
      <c r="AC44" s="670">
        <f>+H44/'[1]1-COSTO X KM'!H44-1</f>
        <v>0.4557107827559479</v>
      </c>
      <c r="AD44" s="670">
        <f>+I44/'[1]1-COSTO X KM'!I44-1</f>
        <v>0.35201426966835769</v>
      </c>
      <c r="AE44" s="671">
        <f>+J44/'[1]1-COSTO X KM'!J44-1</f>
        <v>0.40805179237779154</v>
      </c>
      <c r="AF44" s="680" t="str">
        <f t="shared" si="30"/>
        <v>20. GASTOS GENERALES</v>
      </c>
      <c r="AG44" s="681">
        <f>+B44/'[2]1-COSTO X KM'!B44-1</f>
        <v>0.23678850228149306</v>
      </c>
      <c r="AH44" s="682">
        <f>+C44/'[2]1-COSTO X KM'!C44-1</f>
        <v>0.22768019131991379</v>
      </c>
      <c r="AI44" s="682">
        <f>+D44/'[2]1-COSTO X KM'!D44-1</f>
        <v>0.23715047132920364</v>
      </c>
      <c r="AJ44" s="682">
        <f>+E44/'[2]1-COSTO X KM'!E44-1</f>
        <v>0.19989367510886757</v>
      </c>
      <c r="AK44" s="682">
        <f>+F44/'[2]1-COSTO X KM'!F44-1</f>
        <v>0.31763256354257674</v>
      </c>
      <c r="AL44" s="682">
        <f>+G44/'[2]1-COSTO X KM'!G44-1</f>
        <v>0.23334085032778717</v>
      </c>
      <c r="AM44" s="682">
        <f>+H44/'[2]1-COSTO X KM'!H44-1</f>
        <v>0.28561721571579901</v>
      </c>
      <c r="AN44" s="682">
        <f>+I44/'[2]1-COSTO X KM'!I44-1</f>
        <v>0.23413587997531016</v>
      </c>
      <c r="AO44" s="683">
        <f>+J44/'[2]1-COSTO X KM'!J44-1</f>
        <v>0.27452366552918273</v>
      </c>
    </row>
    <row r="45" spans="1:41" ht="12.45" customHeight="1" thickBot="1" x14ac:dyDescent="0.3">
      <c r="A45" s="149" t="s">
        <v>182</v>
      </c>
      <c r="B45" s="323">
        <f t="shared" ref="B45:J45" si="41">+B44+B43</f>
        <v>3637.4186349753227</v>
      </c>
      <c r="C45" s="323">
        <f t="shared" si="41"/>
        <v>3244.1808622041308</v>
      </c>
      <c r="D45" s="323">
        <f t="shared" si="41"/>
        <v>2609.5563005524555</v>
      </c>
      <c r="E45" s="323">
        <f t="shared" si="41"/>
        <v>2192.4980872904866</v>
      </c>
      <c r="F45" s="323">
        <f t="shared" si="41"/>
        <v>2213.9176063616414</v>
      </c>
      <c r="G45" s="323">
        <f t="shared" si="41"/>
        <v>2879.9950135675404</v>
      </c>
      <c r="H45" s="323">
        <f t="shared" si="41"/>
        <v>2311.6351568050923</v>
      </c>
      <c r="I45" s="323">
        <f t="shared" si="41"/>
        <v>2908.9481884828301</v>
      </c>
      <c r="J45" s="324">
        <f t="shared" si="41"/>
        <v>2756.2404641743738</v>
      </c>
      <c r="K45" s="594"/>
      <c r="L45" s="634" t="str">
        <f t="shared" si="2"/>
        <v>COSTO TOTAL SIN IMPUESTOS</v>
      </c>
      <c r="M45" s="630"/>
      <c r="N45" s="625"/>
      <c r="O45" s="625"/>
      <c r="P45" s="625"/>
      <c r="Q45" s="625"/>
      <c r="R45" s="625"/>
      <c r="S45" s="625"/>
      <c r="T45" s="625"/>
      <c r="U45" s="626"/>
      <c r="V45" s="634" t="str">
        <f t="shared" si="29"/>
        <v>COSTO TOTAL SIN IMPUESTOS</v>
      </c>
      <c r="W45" s="630"/>
      <c r="X45" s="625"/>
      <c r="Y45" s="625"/>
      <c r="Z45" s="625"/>
      <c r="AA45" s="625"/>
      <c r="AB45" s="625"/>
      <c r="AC45" s="625"/>
      <c r="AD45" s="625"/>
      <c r="AE45" s="626"/>
      <c r="AF45" s="634" t="str">
        <f t="shared" si="30"/>
        <v>COSTO TOTAL SIN IMPUESTOS</v>
      </c>
      <c r="AG45" s="630"/>
      <c r="AH45" s="625"/>
      <c r="AI45" s="625"/>
      <c r="AJ45" s="625"/>
      <c r="AK45" s="625"/>
      <c r="AL45" s="625"/>
      <c r="AM45" s="625"/>
      <c r="AN45" s="625"/>
      <c r="AO45" s="626"/>
    </row>
    <row r="46" spans="1:41" ht="12.45" customHeight="1" x14ac:dyDescent="0.25">
      <c r="A46" s="322" t="s">
        <v>183</v>
      </c>
      <c r="B46" s="444">
        <f t="shared" ref="B46:J46" si="42">SUM(B47)</f>
        <v>43.649023619703875</v>
      </c>
      <c r="C46" s="444">
        <f t="shared" si="42"/>
        <v>38.930170346449572</v>
      </c>
      <c r="D46" s="444">
        <f t="shared" si="42"/>
        <v>31.314675606629468</v>
      </c>
      <c r="E46" s="444">
        <f t="shared" si="42"/>
        <v>26.309977047485841</v>
      </c>
      <c r="F46" s="444">
        <f t="shared" si="42"/>
        <v>26.567011276339699</v>
      </c>
      <c r="G46" s="444">
        <f t="shared" si="42"/>
        <v>34.559940162810484</v>
      </c>
      <c r="H46" s="444">
        <f t="shared" si="42"/>
        <v>27.739621881661108</v>
      </c>
      <c r="I46" s="159">
        <f t="shared" si="42"/>
        <v>34.907378261793966</v>
      </c>
      <c r="J46" s="711">
        <f t="shared" si="42"/>
        <v>33.074885570092484</v>
      </c>
      <c r="K46" s="594"/>
      <c r="L46" s="640" t="str">
        <f t="shared" si="2"/>
        <v>21. IMPUESTOS NACIONALES Y COMPENSACIONES</v>
      </c>
      <c r="M46" s="645">
        <f>+B46/B$51</f>
        <v>1.1262031467339569E-2</v>
      </c>
      <c r="N46" s="646">
        <f t="shared" ref="N46" si="43">+C46/C$51</f>
        <v>1.1246059550263927E-2</v>
      </c>
      <c r="O46" s="646">
        <f t="shared" ref="O46" si="44">+D46/D$51</f>
        <v>1.1231016819705055E-2</v>
      </c>
      <c r="P46" s="646">
        <f t="shared" ref="P46" si="45">+E46/E$51</f>
        <v>1.1185252697200384E-2</v>
      </c>
      <c r="Q46" s="646">
        <f t="shared" ref="Q46" si="46">+F46/F$51</f>
        <v>1.117623039971621E-2</v>
      </c>
      <c r="R46" s="646">
        <f t="shared" ref="R46" si="47">+G46/G$51</f>
        <v>1.1228906203549925E-2</v>
      </c>
      <c r="S46" s="646">
        <f t="shared" ref="S46" si="48">+H46/H$51</f>
        <v>1.1207490097556371E-2</v>
      </c>
      <c r="T46" s="646">
        <f t="shared" ref="T46" si="49">+I46/I$51</f>
        <v>1.1229342185799017E-2</v>
      </c>
      <c r="U46" s="647">
        <f t="shared" ref="U46" si="50">+J46/J$51</f>
        <v>1.1228453700618264E-2</v>
      </c>
      <c r="V46" s="662" t="str">
        <f t="shared" si="29"/>
        <v>21. IMPUESTOS NACIONALES Y COMPENSACIONES</v>
      </c>
      <c r="W46" s="666">
        <f>+B46/'[1]1-COSTO X KM'!B46-1</f>
        <v>0.41244026966586156</v>
      </c>
      <c r="X46" s="667">
        <f>+C46/'[1]1-COSTO X KM'!C46-1</f>
        <v>0.49043111016245966</v>
      </c>
      <c r="Y46" s="667">
        <f>+D46/'[1]1-COSTO X KM'!D46-1</f>
        <v>0.49274721927697418</v>
      </c>
      <c r="Z46" s="667">
        <f>+E46/'[1]1-COSTO X KM'!E46-1</f>
        <v>0.43255219130268574</v>
      </c>
      <c r="AA46" s="667">
        <f>+F46/'[1]1-COSTO X KM'!F46-1</f>
        <v>0.5102518311706381</v>
      </c>
      <c r="AB46" s="667">
        <f>+G46/'[1]1-COSTO X KM'!G46-1</f>
        <v>0.3665043429478243</v>
      </c>
      <c r="AC46" s="667">
        <f>+H46/'[1]1-COSTO X KM'!H46-1</f>
        <v>0.4557107827559479</v>
      </c>
      <c r="AD46" s="667">
        <f>+I46/'[1]1-COSTO X KM'!I46-1</f>
        <v>0.35201426966835769</v>
      </c>
      <c r="AE46" s="668">
        <f>+J46/'[1]1-COSTO X KM'!J46-1</f>
        <v>0.40805179237779154</v>
      </c>
      <c r="AF46" s="672" t="str">
        <f t="shared" si="30"/>
        <v>21. IMPUESTOS NACIONALES Y COMPENSACIONES</v>
      </c>
      <c r="AG46" s="673">
        <f>+B46/'[2]1-COSTO X KM'!B46-1</f>
        <v>0.23678850228149306</v>
      </c>
      <c r="AH46" s="674">
        <f>+C46/'[2]1-COSTO X KM'!C46-1</f>
        <v>0.22768019131991402</v>
      </c>
      <c r="AI46" s="674">
        <f>+D46/'[2]1-COSTO X KM'!D46-1</f>
        <v>0.23715047132920364</v>
      </c>
      <c r="AJ46" s="674">
        <f>+E46/'[2]1-COSTO X KM'!E46-1</f>
        <v>0.1998936751088678</v>
      </c>
      <c r="AK46" s="674">
        <f>+F46/'[2]1-COSTO X KM'!F46-1</f>
        <v>0.31763256354257674</v>
      </c>
      <c r="AL46" s="674">
        <f>+G46/'[2]1-COSTO X KM'!G46-1</f>
        <v>0.2333408503277874</v>
      </c>
      <c r="AM46" s="674">
        <f>+H46/'[2]1-COSTO X KM'!H46-1</f>
        <v>0.28561721571579901</v>
      </c>
      <c r="AN46" s="674">
        <f>+I46/'[2]1-COSTO X KM'!I46-1</f>
        <v>0.23413587997531038</v>
      </c>
      <c r="AO46" s="675">
        <f>+J46/'[2]1-COSTO X KM'!J46-1</f>
        <v>0.27452366552918273</v>
      </c>
    </row>
    <row r="47" spans="1:41" ht="12.45" customHeight="1" x14ac:dyDescent="0.25">
      <c r="A47" s="317" t="s">
        <v>184</v>
      </c>
      <c r="B47" s="445">
        <f>+'6- IMPUESTOS'!B3+'6- IMPUESTOS'!B4</f>
        <v>43.649023619703875</v>
      </c>
      <c r="C47" s="445">
        <f>+'6- IMPUESTOS'!C3+'6- IMPUESTOS'!C4</f>
        <v>38.930170346449572</v>
      </c>
      <c r="D47" s="445">
        <f>+'6- IMPUESTOS'!D3+'6- IMPUESTOS'!D4</f>
        <v>31.314675606629468</v>
      </c>
      <c r="E47" s="445">
        <f>+'6- IMPUESTOS'!E3+'6- IMPUESTOS'!E4</f>
        <v>26.309977047485841</v>
      </c>
      <c r="F47" s="445">
        <f>+'6- IMPUESTOS'!F3+'6- IMPUESTOS'!F4</f>
        <v>26.567011276339699</v>
      </c>
      <c r="G47" s="445">
        <f>+'6- IMPUESTOS'!G3+'6- IMPUESTOS'!G4</f>
        <v>34.559940162810484</v>
      </c>
      <c r="H47" s="445">
        <f>+'6- IMPUESTOS'!H3+'6- IMPUESTOS'!H4</f>
        <v>27.739621881661108</v>
      </c>
      <c r="I47" s="325">
        <f>+'6- IMPUESTOS'!I3+'6- IMPUESTOS'!I4</f>
        <v>34.907378261793966</v>
      </c>
      <c r="J47" s="326">
        <f>+'6- IMPUESTOS'!J3+'6- IMPUESTOS'!J4</f>
        <v>33.074885570092484</v>
      </c>
      <c r="K47" s="594"/>
      <c r="L47" s="632" t="str">
        <f t="shared" si="2"/>
        <v>Impuesto al cheque</v>
      </c>
      <c r="M47" s="628"/>
      <c r="N47" s="619"/>
      <c r="O47" s="619"/>
      <c r="P47" s="619"/>
      <c r="Q47" s="619"/>
      <c r="R47" s="619"/>
      <c r="S47" s="619"/>
      <c r="T47" s="619"/>
      <c r="U47" s="622"/>
      <c r="V47" s="632" t="str">
        <f t="shared" si="29"/>
        <v>Impuesto al cheque</v>
      </c>
      <c r="W47" s="628"/>
      <c r="X47" s="619"/>
      <c r="Y47" s="619"/>
      <c r="Z47" s="619"/>
      <c r="AA47" s="619"/>
      <c r="AB47" s="619"/>
      <c r="AC47" s="619"/>
      <c r="AD47" s="619"/>
      <c r="AE47" s="622"/>
      <c r="AF47" s="632" t="str">
        <f t="shared" si="30"/>
        <v>Impuesto al cheque</v>
      </c>
      <c r="AG47" s="628"/>
      <c r="AH47" s="619"/>
      <c r="AI47" s="619"/>
      <c r="AJ47" s="619"/>
      <c r="AK47" s="619"/>
      <c r="AL47" s="619"/>
      <c r="AM47" s="619"/>
      <c r="AN47" s="619"/>
      <c r="AO47" s="622"/>
    </row>
    <row r="48" spans="1:41" ht="12.45" customHeight="1" x14ac:dyDescent="0.25">
      <c r="A48" s="319" t="s">
        <v>185</v>
      </c>
      <c r="B48" s="352">
        <f>(+'5-PRECIOS SIN IVA'!B47*'2- EMP. REP'!B13/1.105)-(0.1*'8- COSTO COMBUST'!$B$11+0.9*'8- COSTO COMBUST'!B11)*'8- COSTO COMBUST'!B16</f>
        <v>-7.3826519275286699</v>
      </c>
      <c r="C48" s="352">
        <f>(+'5-PRECIOS SIN IVA'!C47*'2- EMP. REP'!C13/1.105)-(0.1*'8- COSTO COMBUST'!$D$11+0.9*'8- COSTO COMBUST'!E11)*'8- COSTO COMBUST'!E16</f>
        <v>-3.3910061312057831</v>
      </c>
      <c r="D48" s="352">
        <f>(+'5-PRECIOS SIN IVA'!D47*'2- EMP. REP'!D13/1.105)-(0.1*'8- COSTO COMBUST'!$D$11+0.9*'8- COSTO COMBUST'!F11)*'8- COSTO COMBUST'!F16</f>
        <v>-4.866276097727301</v>
      </c>
      <c r="E48" s="352">
        <f>(+'5-PRECIOS SIN IVA'!E47*'2- EMP. REP'!E13/1.105)-(0.1*'8- COSTO COMBUST'!$D$11+0.9*'8- COSTO COMBUST'!G11)*'8- COSTO COMBUST'!G16</f>
        <v>-0.17023914675974616</v>
      </c>
      <c r="F48" s="352">
        <f>(+'5-PRECIOS SIN IVA'!F47*'2- EMP. REP'!F13/1.105)-(0.1*'8- COSTO COMBUST'!$D$11+0.9*'8- COSTO COMBUST'!H11)*'8- COSTO COMBUST'!H16</f>
        <v>18.368135055848022</v>
      </c>
      <c r="G48" s="352">
        <f>(+'5-PRECIOS SIN IVA'!G47*'2- EMP. REP'!G13/1.105)-(0.1*'8- COSTO COMBUST'!$D$11+0.9*'8- COSTO COMBUST'!I11)*'8- COSTO COMBUST'!I16</f>
        <v>3.6153127135737755</v>
      </c>
      <c r="H48" s="352">
        <f>(+'5-PRECIOS SIN IVA'!H47*'2- EMP. REP'!H13/1.105)-(0.1*'8- COSTO COMBUST'!$D$11+0.9*'8- COSTO COMBUST'!J11)*'8- COSTO COMBUST'!J16</f>
        <v>0.57517387269474618</v>
      </c>
      <c r="I48" s="352">
        <f>(+'5-PRECIOS SIN IVA'!I47*'2- EMP. REP'!I13/1.105)-(0.1*'8- COSTO COMBUST'!$D$11+0.9*'8- COSTO COMBUST'!K11)*'8- COSTO COMBUST'!K16</f>
        <v>4.6446846413978289</v>
      </c>
      <c r="J48" s="712">
        <f>(+'5-PRECIOS SIN IVA'!J47*'2- EMP. REP'!J13/1.105)-(0.1*'8- COSTO COMBUST'!$D$11+0.9*'8- COSTO COMBUST'!L11)*'8- COSTO COMBUST'!L16</f>
        <v>2.2167248116732932</v>
      </c>
      <c r="K48" s="594"/>
      <c r="L48" s="641" t="str">
        <f t="shared" si="2"/>
        <v>22. IMPUESTO A LOS INGRESOS BRUTOS</v>
      </c>
      <c r="M48" s="642">
        <f t="shared" ref="M48:M50" si="51">+B48/B$51</f>
        <v>-1.904822867165134E-3</v>
      </c>
      <c r="N48" s="643">
        <f t="shared" ref="N48:N50" si="52">+C48/C$51</f>
        <v>-9.7958618078146376E-4</v>
      </c>
      <c r="O48" s="643">
        <f t="shared" ref="O48:O50" si="53">+D48/D$51</f>
        <v>-1.7452912298837177E-3</v>
      </c>
      <c r="P48" s="643">
        <f t="shared" ref="P48:P50" si="54">+E48/E$51</f>
        <v>-7.2374364752458172E-5</v>
      </c>
      <c r="Q48" s="643">
        <f t="shared" ref="Q48:Q50" si="55">+F48/F$51</f>
        <v>7.7271209494342965E-3</v>
      </c>
      <c r="R48" s="643">
        <f t="shared" ref="R48:R50" si="56">+G48/G$51</f>
        <v>1.1746550244582407E-3</v>
      </c>
      <c r="S48" s="643">
        <f t="shared" ref="S48:S50" si="57">+H48/H$51</f>
        <v>2.3238440343922601E-4</v>
      </c>
      <c r="T48" s="643">
        <f t="shared" ref="T48:T50" si="58">+I48/I$51</f>
        <v>1.4941469620612226E-3</v>
      </c>
      <c r="U48" s="644">
        <f t="shared" ref="U48:U50" si="59">+J48/J$51</f>
        <v>7.5254657683206355E-4</v>
      </c>
      <c r="V48" s="660" t="str">
        <f t="shared" si="29"/>
        <v>22. IMPUESTO A LOS INGRESOS BRUTOS</v>
      </c>
      <c r="W48" s="663">
        <f>+B48/'[1]1-COSTO X KM'!B48-1</f>
        <v>0.86420619274499733</v>
      </c>
      <c r="X48" s="664">
        <f>+C48/'[1]1-COSTO X KM'!C48-1</f>
        <v>0.41688393085066355</v>
      </c>
      <c r="Y48" s="664">
        <f>+D48/'[1]1-COSTO X KM'!D48-1</f>
        <v>0.30567922372555612</v>
      </c>
      <c r="Z48" s="664">
        <f>+E48/'[1]1-COSTO X KM'!E48-1</f>
        <v>-0.62249309857820601</v>
      </c>
      <c r="AA48" s="664">
        <f>+F48/'[1]1-COSTO X KM'!F48-1</f>
        <v>1.0273017963163431</v>
      </c>
      <c r="AB48" s="664">
        <f>+G48/'[1]1-COSTO X KM'!G48-1</f>
        <v>-0.2075979893324561</v>
      </c>
      <c r="AC48" s="664">
        <f>+H48/'[1]1-COSTO X KM'!H48-1</f>
        <v>-0.63575600934697363</v>
      </c>
      <c r="AD48" s="664">
        <f>+I48/'[1]1-COSTO X KM'!I48-1</f>
        <v>-0.20750404092081975</v>
      </c>
      <c r="AE48" s="665">
        <f>+J48/'[1]1-COSTO X KM'!J48-1</f>
        <v>-0.45898930630065127</v>
      </c>
      <c r="AF48" s="676" t="str">
        <f t="shared" si="30"/>
        <v>22. IMPUESTO A LOS INGRESOS BRUTOS</v>
      </c>
      <c r="AG48" s="677">
        <f>+B48/'[2]1-COSTO X KM'!B48-1</f>
        <v>0.61998310175814431</v>
      </c>
      <c r="AH48" s="678">
        <f>+C48/'[2]1-COSTO X KM'!C48-1</f>
        <v>-9.0171164634266554E-2</v>
      </c>
      <c r="AI48" s="678">
        <f>+D48/'[2]1-COSTO X KM'!D48-1</f>
        <v>-2.1919098984595875E-2</v>
      </c>
      <c r="AJ48" s="678">
        <f>+E48/'[2]1-COSTO X KM'!E48-1</f>
        <v>-0.89226147277401657</v>
      </c>
      <c r="AK48" s="678">
        <f>+F48/'[2]1-COSTO X KM'!F48-1</f>
        <v>1.2339650436465268</v>
      </c>
      <c r="AL48" s="678">
        <f>+G48/'[2]1-COSTO X KM'!G48-1</f>
        <v>2.9935961157340696</v>
      </c>
      <c r="AM48" s="678">
        <f>+H48/'[2]1-COSTO X KM'!H48-1</f>
        <v>-1.4892764612217269</v>
      </c>
      <c r="AN48" s="678">
        <f>+I48/'[2]1-COSTO X KM'!I48-1</f>
        <v>1.7701407441206616</v>
      </c>
      <c r="AO48" s="679">
        <f>+J48/'[2]1-COSTO X KM'!J48-1</f>
        <v>170.92653305367153</v>
      </c>
    </row>
    <row r="49" spans="1:41" ht="12.45" customHeight="1" x14ac:dyDescent="0.25">
      <c r="A49" s="319" t="s">
        <v>186</v>
      </c>
      <c r="B49" s="164">
        <f>+(B$4+B$5+B$6+B$7+B$8+B$14+B$19+B$27+B$39+B$29+B$31+B$37+B$38+B$40+B$41+B$42+B$44)*('5-PRECIOS SIN IVA'!B41)+(+B$20+B$25)*('5-PRECIOS SIN IVA'!B42)</f>
        <v>187.90498481992933</v>
      </c>
      <c r="C49" s="164">
        <f>+(C$4+C$5+C$6+C$7+C$8+C$14+C$19+C$27+C$39+C$29+C$31+C$37+C$38+C$40+C$41+C$42+C$44)*('5-PRECIOS SIN IVA'!C41)+(+C$20+C$25)*('5-PRECIOS SIN IVA'!C42)</f>
        <v>168.50315405235881</v>
      </c>
      <c r="D49" s="164">
        <f>+(D$4+D$5+D$6+D$7+D$8+D$14+D$19+D$27+D$39+D$29+D$31+D$37+D$38+D$40+D$41+D$42+D$44)*('5-PRECIOS SIN IVA'!D41)+(+D$20+D$25)*('5-PRECIOS SIN IVA'!D42)</f>
        <v>139.97395905552952</v>
      </c>
      <c r="E49" s="164">
        <f>+(E$4+E$5+E$6+E$7+E$8+E$14+E$19+E$27+E$39+E$29+E$31+E$37+E$38+E$40+E$41+E$42+E$44)*('5-PRECIOS SIN IVA'!E41)+(+E$20+E$25)*('5-PRECIOS SIN IVA'!E42)</f>
        <v>123.07201129697899</v>
      </c>
      <c r="F49" s="164">
        <f>+(F$4+F$5+F$6+F$7+F$8+F$14+F$19+F$27+F$39+F$29+F$31+F$37+F$38+F$40+F$41+F$42+F$44)*('5-PRECIOS SIN IVA'!F41)+(+F$20+F$25)*('5-PRECIOS SIN IVA'!F42)</f>
        <v>116.30246613623083</v>
      </c>
      <c r="G49" s="164">
        <f>+(G$4+G$5+G$6+G$7+G$8+G$14+G$19+G$27+G$39+G$29+G$31+G$37+G$38+G$40+G$41+G$42+G$44)*('5-PRECIOS SIN IVA'!G41)+(+G$20+G$25)*('5-PRECIOS SIN IVA'!G42)</f>
        <v>149.0178504179587</v>
      </c>
      <c r="H49" s="164">
        <f>+(H$4+H$5+H$6+H$7+H$8+H$14+H$19+H$27+H$39+H$29+H$31+H$37+H$38+H$40+H$41+H$42+H$44)*('5-PRECIOS SIN IVA'!H41)+(+H$20+H$25)*('5-PRECIOS SIN IVA'!H42)</f>
        <v>125.11362226482188</v>
      </c>
      <c r="I49" s="164">
        <f>+(I$4+I$5+I$6+I$7+I$8+I$14+I$19+I$27+I$39+I$29+I$31+I$37+I$38+I$40+I$41+I$42+I$44)*('5-PRECIOS SIN IVA'!I41)+(+I$20+I$25)*('5-PRECIOS SIN IVA'!I42)</f>
        <v>150.17267654113968</v>
      </c>
      <c r="J49" s="705">
        <f>+(J$4+J$5+J$6+J$7+J$8+J$14+J$19+J$27+J$39+J$29+J$31+J$37+J$38+J$40+J$41+J$42+J$44)*('5-PRECIOS SIN IVA'!J41)+(+J$20+J$25)*('5-PRECIOS SIN IVA'!J42)</f>
        <v>143.64194688393133</v>
      </c>
      <c r="K49" s="594"/>
      <c r="L49" s="641" t="str">
        <f t="shared" si="2"/>
        <v>23. Costo de gerenciamiento</v>
      </c>
      <c r="M49" s="642">
        <f t="shared" si="51"/>
        <v>4.8481997451982513E-2</v>
      </c>
      <c r="N49" s="643">
        <f t="shared" si="52"/>
        <v>4.8676809991224382E-2</v>
      </c>
      <c r="O49" s="643">
        <f t="shared" si="53"/>
        <v>5.0201698022397788E-2</v>
      </c>
      <c r="P49" s="643">
        <f t="shared" si="54"/>
        <v>5.232203524255663E-2</v>
      </c>
      <c r="Q49" s="643">
        <f t="shared" si="55"/>
        <v>4.8926209428431906E-2</v>
      </c>
      <c r="R49" s="643">
        <f t="shared" si="56"/>
        <v>4.8417545201612254E-2</v>
      </c>
      <c r="S49" s="643">
        <f t="shared" si="57"/>
        <v>5.0548983276856127E-2</v>
      </c>
      <c r="T49" s="643">
        <f t="shared" si="58"/>
        <v>4.8308995284342661E-2</v>
      </c>
      <c r="U49" s="644">
        <f t="shared" si="59"/>
        <v>4.8764400004797384E-2</v>
      </c>
      <c r="V49" s="660" t="str">
        <f t="shared" si="29"/>
        <v>23. Costo de gerenciamiento</v>
      </c>
      <c r="W49" s="663">
        <f>+B49/'[1]1-COSTO X KM'!B49-1</f>
        <v>0.41217672730803834</v>
      </c>
      <c r="X49" s="664">
        <f>+C49/'[1]1-COSTO X KM'!C49-1</f>
        <v>0.45189030209857628</v>
      </c>
      <c r="Y49" s="664">
        <f>+D49/'[1]1-COSTO X KM'!D49-1</f>
        <v>0.4492998210530208</v>
      </c>
      <c r="Z49" s="664">
        <f>+E49/'[1]1-COSTO X KM'!E49-1</f>
        <v>0.41448432076600272</v>
      </c>
      <c r="AA49" s="664">
        <f>+F49/'[1]1-COSTO X KM'!F49-1</f>
        <v>0.46639522656255861</v>
      </c>
      <c r="AB49" s="664">
        <f>+G49/'[1]1-COSTO X KM'!G49-1</f>
        <v>0.35206382045201834</v>
      </c>
      <c r="AC49" s="664">
        <f>+H49/'[1]1-COSTO X KM'!H49-1</f>
        <v>0.41999885398166614</v>
      </c>
      <c r="AD49" s="664">
        <f>+I49/'[1]1-COSTO X KM'!I49-1</f>
        <v>0.34128916039800106</v>
      </c>
      <c r="AE49" s="665">
        <f>+J49/'[1]1-COSTO X KM'!J49-1</f>
        <v>0.3853387719598218</v>
      </c>
      <c r="AF49" s="676" t="str">
        <f t="shared" si="30"/>
        <v>23. Costo de gerenciamiento</v>
      </c>
      <c r="AG49" s="677">
        <f>+B49/'[2]1-COSTO X KM'!B49-1</f>
        <v>0.26322940790489491</v>
      </c>
      <c r="AH49" s="678">
        <f>+C49/'[2]1-COSTO X KM'!C49-1</f>
        <v>0.22144271812568239</v>
      </c>
      <c r="AI49" s="678">
        <f>+D49/'[2]1-COSTO X KM'!D49-1</f>
        <v>0.22865676690352554</v>
      </c>
      <c r="AJ49" s="678">
        <f>+E49/'[2]1-COSTO X KM'!E49-1</f>
        <v>0.20453617974704241</v>
      </c>
      <c r="AK49" s="678">
        <f>+F49/'[2]1-COSTO X KM'!F49-1</f>
        <v>0.29324343946483333</v>
      </c>
      <c r="AL49" s="678">
        <f>+G49/'[2]1-COSTO X KM'!G49-1</f>
        <v>0.22623567705050807</v>
      </c>
      <c r="AM49" s="678">
        <f>+H49/'[2]1-COSTO X KM'!H49-1</f>
        <v>0.26630105820754935</v>
      </c>
      <c r="AN49" s="678">
        <f>+I49/'[2]1-COSTO X KM'!I49-1</f>
        <v>0.22753071371047717</v>
      </c>
      <c r="AO49" s="679">
        <f>+J49/'[2]1-COSTO X KM'!J49-1</f>
        <v>0.25973173461102328</v>
      </c>
    </row>
    <row r="50" spans="1:41" ht="12.45" customHeight="1" thickBot="1" x14ac:dyDescent="0.3">
      <c r="A50" s="320" t="s">
        <v>187</v>
      </c>
      <c r="B50" s="165">
        <f>+'5.A SALDO A FAVOR IVA'!D8</f>
        <v>14.17822548906952</v>
      </c>
      <c r="C50" s="165">
        <f>+'5.A SALDO A FAVOR IVA'!E8</f>
        <v>13.448898753202004</v>
      </c>
      <c r="D50" s="165">
        <f>+'5.A SALDO A FAVOR IVA'!F8</f>
        <v>12.252906139716362</v>
      </c>
      <c r="E50" s="165">
        <f>+'5.A SALDO A FAVOR IVA'!G8</f>
        <v>10.492456989818395</v>
      </c>
      <c r="F50" s="165">
        <f>+'5.A SALDO A FAVOR IVA'!H8</f>
        <v>1.9442437055630004</v>
      </c>
      <c r="G50" s="165">
        <f>+'5.A SALDO A FAVOR IVA'!I8</f>
        <v>10.577387304910578</v>
      </c>
      <c r="H50" s="165">
        <f>+'5.A SALDO A FAVOR IVA'!J8</f>
        <v>10.03313641077477</v>
      </c>
      <c r="I50" s="165">
        <f>+'5.A SALDO A FAVOR IVA'!K8</f>
        <v>9.9132816852726897</v>
      </c>
      <c r="J50" s="709">
        <f>+'5.A SALDO A FAVOR IVA'!L8</f>
        <v>10.457358619972704</v>
      </c>
      <c r="K50" s="594"/>
      <c r="L50" s="648" t="str">
        <f t="shared" si="2"/>
        <v>24. Saldo Técnico a Favor IVA</v>
      </c>
      <c r="M50" s="649">
        <f t="shared" si="51"/>
        <v>3.6581716695458159E-3</v>
      </c>
      <c r="N50" s="650">
        <f t="shared" si="52"/>
        <v>3.8850874506325852E-3</v>
      </c>
      <c r="O50" s="650">
        <f t="shared" si="53"/>
        <v>4.3945080790263255E-3</v>
      </c>
      <c r="P50" s="650">
        <f t="shared" si="54"/>
        <v>4.4606949916301854E-3</v>
      </c>
      <c r="Q50" s="650">
        <f t="shared" si="55"/>
        <v>8.1790591273328507E-4</v>
      </c>
      <c r="R50" s="650">
        <f t="shared" si="56"/>
        <v>3.4367099412188858E-3</v>
      </c>
      <c r="S50" s="650">
        <f t="shared" si="57"/>
        <v>4.0536340924506135E-3</v>
      </c>
      <c r="T50" s="650">
        <f t="shared" si="58"/>
        <v>3.1890000845460351E-3</v>
      </c>
      <c r="U50" s="651">
        <f t="shared" si="59"/>
        <v>3.5501246662301448E-3</v>
      </c>
      <c r="V50" s="661" t="str">
        <f t="shared" si="29"/>
        <v>24. Saldo Técnico a Favor IVA</v>
      </c>
      <c r="W50" s="669">
        <f>+B50/'[1]1-COSTO X KM'!B50-1</f>
        <v>0.60108965266164027</v>
      </c>
      <c r="X50" s="670">
        <f>+C50/'[1]1-COSTO X KM'!C50-1</f>
        <v>0.56963589254201086</v>
      </c>
      <c r="Y50" s="670">
        <f>+D50/'[1]1-COSTO X KM'!D50-1</f>
        <v>0.51984882388335407</v>
      </c>
      <c r="Z50" s="670">
        <f>+E50/'[1]1-COSTO X KM'!E50-1</f>
        <v>0.50510355980588573</v>
      </c>
      <c r="AA50" s="670">
        <f>+F50/'[1]1-COSTO X KM'!F50-1</f>
        <v>-0.14987782484663925</v>
      </c>
      <c r="AB50" s="670">
        <f>+G50/'[1]1-COSTO X KM'!G50-1</f>
        <v>0.63210947084924185</v>
      </c>
      <c r="AC50" s="670">
        <f>+H50/'[1]1-COSTO X KM'!H50-1</f>
        <v>0.63636877540664494</v>
      </c>
      <c r="AD50" s="670">
        <f>+I50/'[1]1-COSTO X KM'!I50-1</f>
        <v>0.72352210082623847</v>
      </c>
      <c r="AE50" s="671">
        <f>+J50/'[1]1-COSTO X KM'!J50-1</f>
        <v>0.73254634307587274</v>
      </c>
      <c r="AF50" s="680" t="str">
        <f t="shared" si="30"/>
        <v>24. Saldo Técnico a Favor IVA</v>
      </c>
      <c r="AG50" s="681">
        <f>+B50/'[2]1-COSTO X KM'!B50-1</f>
        <v>0.35064154307634343</v>
      </c>
      <c r="AH50" s="682">
        <f>+C50/'[2]1-COSTO X KM'!C50-1</f>
        <v>0.22235285931460025</v>
      </c>
      <c r="AI50" s="682">
        <f>+D50/'[2]1-COSTO X KM'!D50-1</f>
        <v>0.21180569517051762</v>
      </c>
      <c r="AJ50" s="682">
        <f>+E50/'[2]1-COSTO X KM'!E50-1</f>
        <v>0.15405347716356399</v>
      </c>
      <c r="AK50" s="682">
        <f>+F50/'[2]1-COSTO X KM'!F50-1</f>
        <v>-0.47965627876230155</v>
      </c>
      <c r="AL50" s="682">
        <f>+G50/'[2]1-COSTO X KM'!G50-1</f>
        <v>0.17208445179161025</v>
      </c>
      <c r="AM50" s="682">
        <f>+H50/'[2]1-COSTO X KM'!H50-1</f>
        <v>0.21167187212365524</v>
      </c>
      <c r="AN50" s="682">
        <f>+I50/'[2]1-COSTO X KM'!I50-1</f>
        <v>0.16983319095202143</v>
      </c>
      <c r="AO50" s="683">
        <f>+J50/'[2]1-COSTO X KM'!J50-1</f>
        <v>0.20747047330949986</v>
      </c>
    </row>
    <row r="51" spans="1:41" ht="12.45" customHeight="1" x14ac:dyDescent="0.25">
      <c r="A51" s="150" t="s">
        <v>188</v>
      </c>
      <c r="B51" s="154">
        <f t="shared" ref="B51:J51" si="60">+B45+B46+B48+B49+B50</f>
        <v>3875.7682169764967</v>
      </c>
      <c r="C51" s="154">
        <f t="shared" si="60"/>
        <v>3461.6720792249353</v>
      </c>
      <c r="D51" s="154">
        <f t="shared" si="60"/>
        <v>2788.2315652566035</v>
      </c>
      <c r="E51" s="154">
        <f t="shared" si="60"/>
        <v>2352.2022934780102</v>
      </c>
      <c r="F51" s="154">
        <f t="shared" si="60"/>
        <v>2377.0994625356234</v>
      </c>
      <c r="G51" s="154">
        <f t="shared" si="60"/>
        <v>3077.7655041667945</v>
      </c>
      <c r="H51" s="154">
        <f t="shared" si="60"/>
        <v>2475.0967112350449</v>
      </c>
      <c r="I51" s="154">
        <f t="shared" si="60"/>
        <v>3108.5862096124338</v>
      </c>
      <c r="J51" s="155">
        <f t="shared" si="60"/>
        <v>2945.6313800600437</v>
      </c>
      <c r="K51" s="594"/>
      <c r="L51" s="652" t="str">
        <f t="shared" si="2"/>
        <v>COSTO TOTAL POR KILOMETRO SIN IVA</v>
      </c>
      <c r="M51" s="653">
        <f>SUM(M4:M50)</f>
        <v>1</v>
      </c>
      <c r="N51" s="654">
        <f t="shared" ref="N51:U51" si="61">SUM(N4:N50)</f>
        <v>0.99999999999999989</v>
      </c>
      <c r="O51" s="654">
        <f t="shared" si="61"/>
        <v>0.99999999999999978</v>
      </c>
      <c r="P51" s="654">
        <f t="shared" si="61"/>
        <v>1</v>
      </c>
      <c r="Q51" s="654">
        <f t="shared" si="61"/>
        <v>0.99999999999999978</v>
      </c>
      <c r="R51" s="654">
        <f t="shared" si="61"/>
        <v>0.99999999999999989</v>
      </c>
      <c r="S51" s="654">
        <f t="shared" si="61"/>
        <v>1</v>
      </c>
      <c r="T51" s="654">
        <f t="shared" si="61"/>
        <v>1</v>
      </c>
      <c r="U51" s="655">
        <f t="shared" si="61"/>
        <v>0.99999999999999989</v>
      </c>
      <c r="V51" s="656" t="str">
        <f t="shared" si="29"/>
        <v>COSTO TOTAL POR KILOMETRO SIN IVA</v>
      </c>
      <c r="W51" s="657">
        <f>+B51/'[1]1-COSTO X KM'!B51-1</f>
        <v>0.41238429649662689</v>
      </c>
      <c r="X51" s="658">
        <f>+C51/'[1]1-COSTO X KM'!C51-1</f>
        <v>0.488874868585079</v>
      </c>
      <c r="Y51" s="658">
        <f>+D51/'[1]1-COSTO X KM'!D51-1</f>
        <v>0.49099300298506221</v>
      </c>
      <c r="Z51" s="658">
        <f>+E51/'[1]1-COSTO X KM'!E51-1</f>
        <v>0.43219264985780148</v>
      </c>
      <c r="AA51" s="658">
        <f>+F51/'[1]1-COSTO X KM'!F51-1</f>
        <v>0.51005909376130365</v>
      </c>
      <c r="AB51" s="658">
        <f>+G51/'[1]1-COSTO X KM'!G51-1</f>
        <v>0.36539989326008193</v>
      </c>
      <c r="AC51" s="658">
        <f>+H51/'[1]1-COSTO X KM'!H51-1</f>
        <v>0.45350133351690625</v>
      </c>
      <c r="AD51" s="658">
        <f>+I51/'[1]1-COSTO X KM'!I51-1</f>
        <v>0.35099590394897762</v>
      </c>
      <c r="AE51" s="659">
        <f>+J51/'[1]1-COSTO X KM'!J51-1</f>
        <v>0.40616662020190231</v>
      </c>
      <c r="AF51" s="684" t="str">
        <f t="shared" si="30"/>
        <v>COSTO TOTAL POR KILOMETRO SIN IVA</v>
      </c>
      <c r="AG51" s="685">
        <f>+B51/'[2]1-COSTO X KM'!B51-1</f>
        <v>0.23786864487445114</v>
      </c>
      <c r="AH51" s="686">
        <f>+C51/'[2]1-COSTO X KM'!C51-1</f>
        <v>0.22777437870906003</v>
      </c>
      <c r="AI51" s="686">
        <f>+D51/'[2]1-COSTO X KM'!D51-1</f>
        <v>0.23717933439895234</v>
      </c>
      <c r="AJ51" s="686">
        <f>+E51/'[2]1-COSTO X KM'!E51-1</f>
        <v>0.20080405366194864</v>
      </c>
      <c r="AK51" s="686">
        <f>+F51/'[2]1-COSTO X KM'!F51-1</f>
        <v>0.3189430774231663</v>
      </c>
      <c r="AL51" s="686">
        <f>+G51/'[2]1-COSTO X KM'!G51-1</f>
        <v>0.23377480480606838</v>
      </c>
      <c r="AM51" s="686">
        <f>+H51/'[2]1-COSTO X KM'!H51-1</f>
        <v>0.2853916776464962</v>
      </c>
      <c r="AN51" s="686">
        <f>+I51/'[2]1-COSTO X KM'!I51-1</f>
        <v>0.23462139372369162</v>
      </c>
      <c r="AO51" s="687">
        <f>+J51/'[2]1-COSTO X KM'!J51-1</f>
        <v>0.27449463845842104</v>
      </c>
    </row>
    <row r="52" spans="1:41" ht="12.45" customHeight="1" x14ac:dyDescent="0.25">
      <c r="A52" s="151" t="s">
        <v>189</v>
      </c>
      <c r="B52" s="166">
        <f>+'2- EMP. REP'!B14</f>
        <v>3.444468560871945</v>
      </c>
      <c r="C52" s="166">
        <f>+'2- EMP. REP'!C14</f>
        <v>2.719643517777699</v>
      </c>
      <c r="D52" s="166">
        <f>+'2- EMP. REP'!D14</f>
        <v>1.7471023670309904</v>
      </c>
      <c r="E52" s="166">
        <f>+'2- EMP. REP'!E14</f>
        <v>0.86686079327287169</v>
      </c>
      <c r="F52" s="166">
        <f>+'2- EMP. REP'!F14</f>
        <v>1.1243147074284723</v>
      </c>
      <c r="G52" s="166">
        <f>+'2- EMP. REP'!G14</f>
        <v>2.7832034695858399</v>
      </c>
      <c r="H52" s="166">
        <f>+'2- EMP. REP'!H14</f>
        <v>1.7259651618975009</v>
      </c>
      <c r="I52" s="166">
        <f>+'2- EMP. REP'!I14</f>
        <v>3.1186188236929908</v>
      </c>
      <c r="J52" s="713">
        <f>+'2- EMP. REP'!J14</f>
        <v>2.4992933879833421</v>
      </c>
      <c r="K52" s="594"/>
      <c r="L52" s="632" t="str">
        <f t="shared" si="2"/>
        <v>ÍNDICE PASAJERO KILÓMETRO (IPK)</v>
      </c>
      <c r="M52" s="628"/>
      <c r="N52" s="619"/>
      <c r="O52" s="619"/>
      <c r="P52" s="619"/>
      <c r="Q52" s="619"/>
      <c r="R52" s="619"/>
      <c r="S52" s="619"/>
      <c r="T52" s="619"/>
      <c r="U52" s="622"/>
      <c r="V52" s="632" t="str">
        <f t="shared" si="29"/>
        <v>ÍNDICE PASAJERO KILÓMETRO (IPK)</v>
      </c>
      <c r="W52" s="628">
        <f>+B52/'[1]1-COSTO X KM'!B52-1</f>
        <v>5.6334122214787508E-2</v>
      </c>
      <c r="X52" s="619">
        <f>+C52/'[1]1-COSTO X KM'!C52-1</f>
        <v>5.0035912197844867E-2</v>
      </c>
      <c r="Y52" s="619">
        <f>+D52/'[1]1-COSTO X KM'!D52-1</f>
        <v>7.1137334959920473E-2</v>
      </c>
      <c r="Z52" s="619">
        <f>+E52/'[1]1-COSTO X KM'!E52-1</f>
        <v>3.2181828029164583E-2</v>
      </c>
      <c r="AA52" s="619">
        <f>+F52/'[1]1-COSTO X KM'!F52-1</f>
        <v>0.11663190405715773</v>
      </c>
      <c r="AB52" s="619">
        <f>+G52/'[1]1-COSTO X KM'!G52-1</f>
        <v>-9.1704416848257031E-2</v>
      </c>
      <c r="AC52" s="619">
        <f>+H52/'[1]1-COSTO X KM'!H52-1</f>
        <v>-9.4993769558884278E-2</v>
      </c>
      <c r="AD52" s="619">
        <f>+I52/'[1]1-COSTO X KM'!I52-1</f>
        <v>-8.6935718943594753E-2</v>
      </c>
      <c r="AE52" s="622">
        <f>+J52/'[1]1-COSTO X KM'!J52-1</f>
        <v>-8.1172594244807939E-2</v>
      </c>
      <c r="AF52" s="632" t="str">
        <f t="shared" si="30"/>
        <v>ÍNDICE PASAJERO KILÓMETRO (IPK)</v>
      </c>
      <c r="AG52" s="628">
        <f>+B52/'[2]1-COSTO X KM'!B52-1</f>
        <v>9.0526412330817374E-2</v>
      </c>
      <c r="AH52" s="619">
        <f>+C52/'[2]1-COSTO X KM'!C52-1</f>
        <v>1.8247952607842732E-2</v>
      </c>
      <c r="AI52" s="619">
        <f>+D52/'[2]1-COSTO X KM'!D52-1</f>
        <v>1.824794289332976E-2</v>
      </c>
      <c r="AJ52" s="619">
        <f>+E52/'[2]1-COSTO X KM'!E52-1</f>
        <v>1.8247923631045326E-2</v>
      </c>
      <c r="AK52" s="619">
        <f>+F52/'[2]1-COSTO X KM'!F52-1</f>
        <v>0.15709999206893488</v>
      </c>
      <c r="AL52" s="619">
        <f>+G52/'[2]1-COSTO X KM'!G52-1</f>
        <v>1.8247953326363531E-2</v>
      </c>
      <c r="AM52" s="619">
        <f>+H52/'[2]1-COSTO X KM'!H52-1</f>
        <v>1.8247949249479589E-2</v>
      </c>
      <c r="AN52" s="619">
        <f>+I52/'[2]1-COSTO X KM'!I52-1</f>
        <v>1.8247952441997839E-2</v>
      </c>
      <c r="AO52" s="622">
        <f>+J52/'[2]1-COSTO X KM'!J52-1</f>
        <v>1.8247956457924763E-2</v>
      </c>
    </row>
    <row r="53" spans="1:41" ht="12.45" customHeight="1" thickBot="1" x14ac:dyDescent="0.3">
      <c r="A53" s="152" t="s">
        <v>190</v>
      </c>
      <c r="B53" s="161">
        <f t="shared" ref="B53:J53" si="62">+B51/B52</f>
        <v>1125.2151524923111</v>
      </c>
      <c r="C53" s="161">
        <f t="shared" si="62"/>
        <v>1272.8403765408084</v>
      </c>
      <c r="D53" s="161">
        <f t="shared" si="62"/>
        <v>1595.9176851181871</v>
      </c>
      <c r="E53" s="161">
        <f t="shared" si="62"/>
        <v>2713.4717727827615</v>
      </c>
      <c r="F53" s="161">
        <f t="shared" si="62"/>
        <v>2114.2652024649888</v>
      </c>
      <c r="G53" s="161">
        <f t="shared" si="62"/>
        <v>1105.8356091460275</v>
      </c>
      <c r="H53" s="161">
        <f t="shared" si="62"/>
        <v>1434.0363095822627</v>
      </c>
      <c r="I53" s="161">
        <f t="shared" si="62"/>
        <v>996.78299444474055</v>
      </c>
      <c r="J53" s="714">
        <f t="shared" si="62"/>
        <v>1178.5856731437391</v>
      </c>
      <c r="K53" s="594"/>
      <c r="L53" s="633" t="str">
        <f t="shared" si="2"/>
        <v>Tarifa media sin compensación (Tm = Cm / IPK)</v>
      </c>
      <c r="M53" s="629"/>
      <c r="N53" s="623"/>
      <c r="O53" s="623"/>
      <c r="P53" s="623"/>
      <c r="Q53" s="623"/>
      <c r="R53" s="623"/>
      <c r="S53" s="623"/>
      <c r="T53" s="623"/>
      <c r="U53" s="624"/>
      <c r="V53" s="633" t="str">
        <f t="shared" si="29"/>
        <v>Tarifa media sin compensación (Tm = Cm / IPK)</v>
      </c>
      <c r="W53" s="629">
        <f>+B53/'[1]1-COSTO X KM'!B53-1</f>
        <v>0.33706207798657362</v>
      </c>
      <c r="X53" s="623">
        <f>+C53/'[1]1-COSTO X KM'!C53-1</f>
        <v>0.41792756922826957</v>
      </c>
      <c r="Y53" s="623">
        <f>+D53/'[1]1-COSTO X KM'!D53-1</f>
        <v>0.39197183621729681</v>
      </c>
      <c r="Z53" s="623">
        <f>+E53/'[1]1-COSTO X KM'!E53-1</f>
        <v>0.38753910499704558</v>
      </c>
      <c r="AA53" s="623">
        <f>+F53/'[1]1-COSTO X KM'!F53-1</f>
        <v>0.35233382484834275</v>
      </c>
      <c r="AB53" s="623">
        <f>+G53/'[1]1-COSTO X KM'!G53-1</f>
        <v>0.50325501806604489</v>
      </c>
      <c r="AC53" s="623">
        <f>+H53/'[1]1-COSTO X KM'!H53-1</f>
        <v>0.60606776464781276</v>
      </c>
      <c r="AD53" s="623">
        <f>+I53/'[1]1-COSTO X KM'!I53-1</f>
        <v>0.47962846863956865</v>
      </c>
      <c r="AE53" s="624">
        <f>+J53/'[1]1-COSTO X KM'!J53-1</f>
        <v>0.53039255402505314</v>
      </c>
      <c r="AF53" s="633" t="str">
        <f t="shared" si="30"/>
        <v>Tarifa media sin compensación (Tm = Cm / IPK)</v>
      </c>
      <c r="AG53" s="629">
        <f>+B53/'[2]1-COSTO X KM'!B53-1</f>
        <v>0.13511110861470521</v>
      </c>
      <c r="AH53" s="623">
        <f>+C53/'[2]1-COSTO X KM'!C53-1</f>
        <v>0.20577151720717679</v>
      </c>
      <c r="AI53" s="623">
        <f>+D53/'[2]1-COSTO X KM'!D53-1</f>
        <v>0.21500793891469461</v>
      </c>
      <c r="AJ53" s="623">
        <f>+E53/'[2]1-COSTO X KM'!E53-1</f>
        <v>0.17928455908843177</v>
      </c>
      <c r="AK53" s="623">
        <f>+F53/'[2]1-COSTO X KM'!F53-1</f>
        <v>0.13986957606390638</v>
      </c>
      <c r="AL53" s="623">
        <f>+G53/'[2]1-COSTO X KM'!G53-1</f>
        <v>0.21166440921941665</v>
      </c>
      <c r="AM53" s="623">
        <f>+H53/'[2]1-COSTO X KM'!H53-1</f>
        <v>0.26235626459539674</v>
      </c>
      <c r="AN53" s="623">
        <f>+I53/'[2]1-COSTO X KM'!I53-1</f>
        <v>0.21249582752686047</v>
      </c>
      <c r="AO53" s="624">
        <f>+J53/'[2]1-COSTO X KM'!J53-1</f>
        <v>0.25165450161262837</v>
      </c>
    </row>
    <row r="54" spans="1:41" ht="13.8" thickBot="1" x14ac:dyDescent="0.3">
      <c r="B54" s="532"/>
      <c r="C54" s="532"/>
      <c r="D54" s="532"/>
      <c r="E54" s="532"/>
      <c r="F54" s="532"/>
      <c r="G54" s="508"/>
      <c r="H54" s="508"/>
      <c r="I54" s="508"/>
      <c r="J54" s="508"/>
      <c r="K54" s="594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47"/>
      <c r="W54" s="447"/>
      <c r="X54" s="447"/>
      <c r="Y54" s="447"/>
    </row>
    <row r="55" spans="1:41" ht="13.8" thickBot="1" x14ac:dyDescent="0.3">
      <c r="K55" s="594"/>
      <c r="L55" s="466"/>
      <c r="M55" s="447"/>
      <c r="N55" s="581"/>
      <c r="O55" s="447"/>
      <c r="V55" s="688" t="s">
        <v>535</v>
      </c>
      <c r="W55" s="689"/>
      <c r="X55" s="689"/>
      <c r="Y55" s="690">
        <v>0.29395972041738383</v>
      </c>
      <c r="AF55" s="688" t="s">
        <v>534</v>
      </c>
      <c r="AG55" s="689"/>
      <c r="AH55" s="689"/>
      <c r="AI55" s="690">
        <v>6.8701863607999458E-2</v>
      </c>
    </row>
    <row r="56" spans="1:41" x14ac:dyDescent="0.25">
      <c r="B56" s="613"/>
      <c r="C56" s="613"/>
      <c r="D56" s="613"/>
      <c r="E56" s="613"/>
      <c r="F56" s="613"/>
      <c r="G56" s="613"/>
      <c r="H56" s="613"/>
      <c r="I56" s="613"/>
      <c r="J56" s="613"/>
      <c r="K56" s="594"/>
      <c r="L56" s="466"/>
      <c r="M56" s="447"/>
      <c r="N56" s="581"/>
      <c r="O56" s="447"/>
      <c r="Y56" s="447"/>
    </row>
    <row r="57" spans="1:41" ht="24" customHeight="1" x14ac:dyDescent="0.25">
      <c r="A57" s="522"/>
      <c r="B57" s="522"/>
      <c r="C57" s="522"/>
      <c r="D57" s="522"/>
      <c r="E57" s="522"/>
      <c r="F57" s="522"/>
      <c r="G57" s="522"/>
      <c r="H57" s="522"/>
      <c r="I57" s="522"/>
      <c r="J57" s="522"/>
      <c r="K57" s="594"/>
      <c r="L57" s="522"/>
      <c r="M57" s="522"/>
      <c r="N57" s="522"/>
      <c r="O57" s="522"/>
      <c r="P57" s="522"/>
      <c r="Q57" s="522"/>
      <c r="R57" s="89"/>
      <c r="S57" s="89"/>
      <c r="T57" s="89"/>
      <c r="Y57" s="447"/>
    </row>
    <row r="58" spans="1:41" ht="17.399999999999999" customHeight="1" x14ac:dyDescent="0.25">
      <c r="A58" s="522"/>
      <c r="B58" s="522"/>
      <c r="C58" s="522"/>
      <c r="D58" s="522"/>
      <c r="E58" s="522"/>
      <c r="F58" s="522"/>
      <c r="G58" s="522"/>
      <c r="H58" s="522"/>
      <c r="I58" s="522"/>
      <c r="J58" s="522"/>
      <c r="K58" s="594"/>
      <c r="L58" s="522"/>
      <c r="M58" s="522"/>
      <c r="N58" s="522"/>
      <c r="O58" s="522"/>
      <c r="P58" s="522"/>
      <c r="Q58" s="522"/>
      <c r="R58" s="89"/>
      <c r="S58" s="89"/>
      <c r="T58" s="89"/>
      <c r="Y58" s="447"/>
    </row>
    <row r="59" spans="1:41" ht="13.8" x14ac:dyDescent="0.25">
      <c r="A59" s="522"/>
      <c r="B59" s="522"/>
      <c r="C59" s="522"/>
      <c r="D59" s="522"/>
      <c r="E59" s="522"/>
      <c r="F59" s="522"/>
      <c r="G59" s="522"/>
      <c r="H59" s="522"/>
      <c r="I59" s="522"/>
      <c r="J59" s="522"/>
      <c r="K59" s="594"/>
      <c r="L59" s="522"/>
      <c r="M59" s="522"/>
      <c r="N59" s="522"/>
      <c r="O59" s="522"/>
      <c r="P59" s="522"/>
      <c r="Q59" s="522"/>
      <c r="R59" s="89"/>
      <c r="S59" s="89"/>
      <c r="T59" s="89"/>
      <c r="Y59" s="447"/>
    </row>
    <row r="60" spans="1:41" ht="13.8" x14ac:dyDescent="0.25">
      <c r="A60" s="522"/>
      <c r="B60" s="522"/>
      <c r="C60" s="522"/>
      <c r="D60" s="522"/>
      <c r="E60" s="522"/>
      <c r="F60" s="522"/>
      <c r="G60" s="522"/>
      <c r="H60" s="522"/>
      <c r="I60" s="522"/>
      <c r="J60" s="522"/>
      <c r="K60" s="594"/>
      <c r="L60" s="522"/>
      <c r="M60" s="522"/>
      <c r="N60" s="522"/>
      <c r="O60" s="522"/>
      <c r="P60" s="522"/>
      <c r="Q60" s="522"/>
      <c r="R60" s="89"/>
      <c r="S60" s="89"/>
      <c r="T60" s="89"/>
      <c r="Y60" s="447"/>
    </row>
    <row r="61" spans="1:41" ht="13.8" x14ac:dyDescent="0.25">
      <c r="A61" s="522"/>
      <c r="B61" s="522"/>
      <c r="C61" s="522"/>
      <c r="D61" s="522"/>
      <c r="E61" s="522"/>
      <c r="F61" s="522"/>
      <c r="G61" s="522"/>
      <c r="H61" s="522"/>
      <c r="I61" s="522"/>
      <c r="J61" s="522"/>
      <c r="K61" s="594"/>
      <c r="L61" s="522"/>
      <c r="M61" s="522"/>
      <c r="N61" s="522"/>
      <c r="O61" s="522"/>
      <c r="P61" s="522"/>
      <c r="Q61" s="522"/>
      <c r="R61" s="89"/>
      <c r="S61" s="89"/>
      <c r="T61" s="89"/>
      <c r="U61" s="578"/>
      <c r="V61" s="578"/>
    </row>
    <row r="62" spans="1:41" ht="13.8" x14ac:dyDescent="0.25">
      <c r="A62" s="522"/>
      <c r="B62" s="522"/>
      <c r="C62" s="522"/>
      <c r="D62" s="522"/>
      <c r="E62" s="522"/>
      <c r="F62" s="522"/>
      <c r="G62" s="522"/>
      <c r="H62" s="522"/>
      <c r="I62" s="522"/>
      <c r="J62" s="522"/>
      <c r="K62" s="594"/>
      <c r="L62" s="522"/>
      <c r="M62" s="522"/>
      <c r="N62" s="522"/>
      <c r="O62" s="522"/>
      <c r="P62" s="522"/>
      <c r="Q62" s="522"/>
      <c r="R62" s="89"/>
      <c r="S62" s="89"/>
      <c r="T62" s="89"/>
      <c r="U62" s="40"/>
      <c r="V62" s="40"/>
    </row>
    <row r="63" spans="1:41" ht="13.8" x14ac:dyDescent="0.25">
      <c r="A63" s="522"/>
      <c r="B63" s="522"/>
      <c r="C63" s="522"/>
      <c r="D63" s="522"/>
      <c r="E63" s="522"/>
      <c r="F63" s="522"/>
      <c r="G63" s="522"/>
      <c r="H63" s="522"/>
      <c r="I63" s="522"/>
      <c r="J63" s="522"/>
      <c r="K63" s="594"/>
      <c r="L63" s="522"/>
      <c r="M63" s="522"/>
      <c r="N63" s="522"/>
      <c r="O63" s="522"/>
      <c r="P63" s="522"/>
      <c r="Q63" s="522"/>
      <c r="R63" s="89"/>
      <c r="S63" s="89"/>
      <c r="T63" s="89"/>
      <c r="U63" s="40"/>
      <c r="V63" s="40"/>
    </row>
    <row r="64" spans="1:41" ht="13.8" x14ac:dyDescent="0.25">
      <c r="A64" s="522"/>
      <c r="B64" s="522"/>
      <c r="C64" s="522"/>
      <c r="D64" s="522"/>
      <c r="E64" s="522"/>
      <c r="F64" s="522"/>
      <c r="G64" s="522"/>
      <c r="H64" s="522"/>
      <c r="I64" s="522"/>
      <c r="J64" s="522"/>
      <c r="K64" s="594"/>
      <c r="L64" s="522"/>
      <c r="M64" s="522"/>
      <c r="N64" s="522"/>
      <c r="O64" s="522"/>
      <c r="P64" s="522"/>
      <c r="Q64" s="522"/>
      <c r="S64" s="40"/>
      <c r="T64" s="40"/>
      <c r="U64" s="40"/>
      <c r="V64" s="40"/>
    </row>
    <row r="65" spans="1:22" ht="13.8" x14ac:dyDescent="0.25">
      <c r="A65" s="522"/>
      <c r="B65" s="522"/>
      <c r="C65" s="522"/>
      <c r="D65" s="522"/>
      <c r="E65" s="522"/>
      <c r="F65" s="522"/>
      <c r="G65" s="522"/>
      <c r="H65" s="522"/>
      <c r="I65" s="522"/>
      <c r="J65" s="522"/>
      <c r="K65" s="594"/>
      <c r="L65" s="522"/>
      <c r="M65" s="522"/>
      <c r="N65" s="522"/>
      <c r="O65" s="522"/>
      <c r="P65" s="522"/>
      <c r="Q65" s="522"/>
      <c r="S65" s="40"/>
      <c r="T65" s="40"/>
      <c r="U65" s="40"/>
      <c r="V65" s="40"/>
    </row>
    <row r="66" spans="1:22" ht="13.8" x14ac:dyDescent="0.25">
      <c r="A66" s="522"/>
      <c r="B66" s="522"/>
      <c r="C66" s="522"/>
      <c r="D66" s="522"/>
      <c r="E66" s="522"/>
      <c r="F66" s="522"/>
      <c r="G66" s="522"/>
      <c r="H66" s="522"/>
      <c r="I66" s="522"/>
      <c r="J66" s="522"/>
      <c r="K66" s="594"/>
      <c r="L66" s="522"/>
      <c r="M66" s="522"/>
      <c r="N66" s="522"/>
      <c r="O66" s="522"/>
      <c r="P66" s="522"/>
      <c r="Q66" s="522"/>
      <c r="S66" s="40"/>
      <c r="T66" s="40"/>
      <c r="U66" s="40"/>
      <c r="V66" s="40"/>
    </row>
    <row r="67" spans="1:22" ht="13.8" x14ac:dyDescent="0.25">
      <c r="A67" s="522"/>
      <c r="B67" s="522"/>
      <c r="C67" s="522"/>
      <c r="D67" s="522"/>
      <c r="E67" s="522"/>
      <c r="F67" s="522"/>
      <c r="G67" s="522"/>
      <c r="H67" s="522"/>
      <c r="I67" s="522"/>
      <c r="J67" s="522"/>
      <c r="K67" s="594"/>
      <c r="L67" s="522"/>
      <c r="M67" s="522"/>
      <c r="N67" s="522"/>
      <c r="O67" s="522"/>
      <c r="P67" s="522"/>
      <c r="Q67" s="522"/>
      <c r="S67" s="40"/>
      <c r="T67" s="40"/>
      <c r="U67" s="40"/>
      <c r="V67" s="40"/>
    </row>
    <row r="68" spans="1:22" ht="13.8" x14ac:dyDescent="0.25">
      <c r="A68" s="522"/>
      <c r="B68" s="522"/>
      <c r="C68" s="522"/>
      <c r="D68" s="522"/>
      <c r="E68" s="522"/>
      <c r="F68" s="522"/>
      <c r="G68" s="522"/>
      <c r="H68" s="522"/>
      <c r="I68" s="522"/>
      <c r="J68" s="522"/>
      <c r="K68" s="594"/>
      <c r="L68" s="522"/>
      <c r="M68" s="522"/>
      <c r="N68" s="522"/>
      <c r="O68" s="522"/>
      <c r="P68" s="522"/>
      <c r="Q68" s="522"/>
      <c r="S68" s="40"/>
      <c r="T68" s="40"/>
      <c r="U68" s="40"/>
      <c r="V68" s="40"/>
    </row>
    <row r="69" spans="1:22" ht="13.8" x14ac:dyDescent="0.25">
      <c r="A69" s="522"/>
      <c r="B69" s="522"/>
      <c r="C69" s="522"/>
      <c r="D69" s="522"/>
      <c r="E69" s="522"/>
      <c r="F69" s="522"/>
      <c r="G69" s="522"/>
      <c r="H69" s="522"/>
      <c r="I69" s="522"/>
      <c r="J69" s="522"/>
      <c r="K69" s="594"/>
      <c r="L69" s="522"/>
      <c r="M69" s="522"/>
      <c r="N69" s="522"/>
      <c r="O69" s="522"/>
      <c r="P69" s="522"/>
      <c r="Q69" s="522"/>
      <c r="S69" s="40"/>
      <c r="T69" s="40"/>
      <c r="U69" s="40"/>
      <c r="V69" s="40"/>
    </row>
    <row r="70" spans="1:22" ht="13.8" x14ac:dyDescent="0.25">
      <c r="A70" s="522"/>
      <c r="B70" s="522"/>
      <c r="C70" s="522"/>
      <c r="D70" s="522"/>
      <c r="E70" s="522"/>
      <c r="F70" s="522"/>
      <c r="G70" s="522"/>
      <c r="H70" s="522"/>
      <c r="I70" s="522"/>
      <c r="J70" s="522"/>
      <c r="K70" s="594"/>
      <c r="L70" s="522"/>
      <c r="M70" s="522"/>
      <c r="N70" s="522"/>
      <c r="O70" s="522"/>
      <c r="P70" s="522"/>
      <c r="Q70" s="522"/>
      <c r="S70" s="40"/>
      <c r="T70" s="40"/>
      <c r="U70" s="40"/>
      <c r="V70" s="40"/>
    </row>
    <row r="71" spans="1:22" ht="13.8" x14ac:dyDescent="0.25">
      <c r="A71" s="522"/>
      <c r="B71" s="522"/>
      <c r="C71" s="522"/>
      <c r="D71" s="522"/>
      <c r="E71" s="522"/>
      <c r="F71" s="522"/>
      <c r="G71" s="522"/>
      <c r="H71" s="522"/>
      <c r="I71" s="522"/>
      <c r="J71" s="522"/>
      <c r="K71" s="594"/>
      <c r="L71" s="522"/>
      <c r="M71" s="522"/>
      <c r="N71" s="522"/>
      <c r="O71" s="522"/>
      <c r="P71" s="522"/>
      <c r="Q71" s="522"/>
      <c r="S71" s="40"/>
      <c r="T71" s="40"/>
      <c r="U71" s="40"/>
      <c r="V71" s="40"/>
    </row>
    <row r="72" spans="1:22" ht="13.8" x14ac:dyDescent="0.25">
      <c r="A72" s="522"/>
      <c r="B72" s="522"/>
      <c r="C72" s="522"/>
      <c r="D72" s="522"/>
      <c r="E72" s="522"/>
      <c r="F72" s="522"/>
      <c r="G72" s="522"/>
      <c r="H72" s="522"/>
      <c r="I72" s="522"/>
      <c r="J72" s="522"/>
      <c r="K72" s="594"/>
      <c r="L72" s="522"/>
      <c r="M72" s="522"/>
      <c r="N72" s="522"/>
      <c r="O72" s="522"/>
      <c r="P72" s="522"/>
      <c r="Q72" s="522"/>
      <c r="S72" s="40"/>
      <c r="T72" s="40"/>
      <c r="U72" s="40"/>
      <c r="V72" s="40"/>
    </row>
    <row r="73" spans="1:22" ht="13.8" x14ac:dyDescent="0.25">
      <c r="A73" s="522"/>
      <c r="B73" s="522"/>
      <c r="C73" s="522"/>
      <c r="D73" s="522"/>
      <c r="E73" s="522"/>
      <c r="F73" s="522"/>
      <c r="G73" s="522"/>
      <c r="H73" s="522"/>
      <c r="I73" s="522"/>
      <c r="J73" s="522"/>
      <c r="K73" s="594"/>
      <c r="L73" s="522"/>
      <c r="M73" s="522"/>
      <c r="N73" s="522"/>
      <c r="O73" s="522"/>
      <c r="P73" s="522"/>
      <c r="Q73" s="522"/>
      <c r="R73" s="64"/>
      <c r="S73" s="40"/>
      <c r="T73" s="40"/>
      <c r="U73" s="40"/>
    </row>
    <row r="74" spans="1:22" ht="13.8" x14ac:dyDescent="0.25">
      <c r="A74" s="522"/>
      <c r="B74" s="522"/>
      <c r="C74" s="522"/>
      <c r="D74" s="522"/>
      <c r="E74" s="522"/>
      <c r="F74" s="522"/>
      <c r="G74" s="522"/>
      <c r="H74" s="522"/>
      <c r="I74" s="522"/>
      <c r="J74" s="522"/>
      <c r="K74" s="594"/>
      <c r="L74" s="522"/>
      <c r="M74" s="522"/>
      <c r="N74" s="522"/>
      <c r="O74" s="522"/>
      <c r="P74" s="522"/>
      <c r="Q74" s="522"/>
      <c r="R74" s="64"/>
      <c r="S74" s="40"/>
      <c r="T74" s="40"/>
      <c r="U74" s="40"/>
    </row>
    <row r="75" spans="1:22" ht="13.8" x14ac:dyDescent="0.25">
      <c r="A75" s="522"/>
      <c r="B75" s="522"/>
      <c r="C75" s="522"/>
      <c r="D75" s="522"/>
      <c r="E75" s="522"/>
      <c r="F75" s="522"/>
      <c r="G75" s="522"/>
      <c r="H75" s="522"/>
      <c r="I75" s="522"/>
      <c r="J75" s="522"/>
      <c r="K75" s="594"/>
      <c r="L75" s="522"/>
      <c r="M75" s="522"/>
      <c r="N75" s="522"/>
      <c r="O75" s="522"/>
      <c r="P75" s="522"/>
      <c r="Q75" s="522"/>
      <c r="R75" s="64"/>
      <c r="S75" s="40"/>
      <c r="T75" s="40"/>
      <c r="U75" s="40"/>
    </row>
    <row r="76" spans="1:22" ht="13.8" x14ac:dyDescent="0.25">
      <c r="A76" s="522"/>
      <c r="B76" s="522"/>
      <c r="C76" s="522"/>
      <c r="D76" s="522"/>
      <c r="E76" s="522"/>
      <c r="F76" s="522"/>
      <c r="G76" s="522"/>
      <c r="H76" s="522"/>
      <c r="I76" s="522"/>
      <c r="J76" s="522"/>
      <c r="K76" s="522"/>
      <c r="L76" s="522"/>
      <c r="M76" s="522"/>
      <c r="N76" s="522"/>
      <c r="O76" s="522"/>
      <c r="P76" s="522"/>
      <c r="Q76" s="522"/>
      <c r="R76" s="64"/>
      <c r="S76" s="40"/>
      <c r="T76" s="40"/>
      <c r="U76" s="40"/>
    </row>
    <row r="77" spans="1:22" ht="13.8" x14ac:dyDescent="0.25">
      <c r="A77" s="522"/>
      <c r="B77" s="522"/>
      <c r="C77" s="522"/>
      <c r="D77" s="522"/>
      <c r="E77" s="522"/>
      <c r="F77" s="522"/>
      <c r="G77" s="522"/>
      <c r="H77" s="522"/>
      <c r="I77" s="522"/>
      <c r="J77" s="522"/>
      <c r="K77" s="522"/>
      <c r="L77" s="522"/>
      <c r="M77" s="522"/>
      <c r="N77" s="522"/>
      <c r="O77" s="522"/>
      <c r="P77" s="522"/>
      <c r="Q77" s="522"/>
      <c r="R77" s="64"/>
      <c r="S77" s="40"/>
      <c r="T77" s="40"/>
      <c r="U77" s="40"/>
    </row>
    <row r="78" spans="1:22" ht="13.8" x14ac:dyDescent="0.25">
      <c r="A78" s="522"/>
      <c r="B78" s="522"/>
      <c r="C78" s="522"/>
      <c r="D78" s="522"/>
      <c r="E78" s="522"/>
      <c r="F78" s="522"/>
      <c r="G78" s="522"/>
      <c r="H78" s="522"/>
      <c r="I78" s="522"/>
      <c r="J78" s="522"/>
      <c r="K78" s="522"/>
      <c r="L78" s="522"/>
      <c r="M78" s="522"/>
      <c r="N78" s="522"/>
      <c r="O78" s="522"/>
      <c r="P78" s="522"/>
      <c r="Q78" s="522"/>
      <c r="R78" s="64"/>
      <c r="S78" s="40"/>
      <c r="T78" s="40"/>
      <c r="U78" s="40"/>
    </row>
    <row r="79" spans="1:22" ht="13.8" x14ac:dyDescent="0.25">
      <c r="A79" s="522"/>
      <c r="B79" s="522"/>
      <c r="C79" s="522"/>
      <c r="D79" s="522"/>
      <c r="E79" s="522"/>
      <c r="F79" s="522"/>
      <c r="G79" s="522"/>
      <c r="H79" s="522"/>
      <c r="I79" s="522"/>
      <c r="J79" s="522"/>
      <c r="K79" s="522"/>
      <c r="L79" s="522"/>
      <c r="M79" s="522"/>
      <c r="N79" s="522"/>
      <c r="O79" s="522"/>
      <c r="P79" s="522"/>
      <c r="Q79" s="522"/>
      <c r="R79" s="64"/>
      <c r="S79" s="40"/>
      <c r="T79" s="40"/>
      <c r="U79" s="40"/>
    </row>
    <row r="80" spans="1:22" ht="13.8" x14ac:dyDescent="0.25">
      <c r="A80" s="522"/>
      <c r="B80" s="522"/>
      <c r="C80" s="522"/>
      <c r="D80" s="522"/>
      <c r="E80" s="522"/>
      <c r="F80" s="522"/>
      <c r="G80" s="522"/>
      <c r="H80" s="522"/>
      <c r="I80" s="522"/>
      <c r="J80" s="522"/>
      <c r="K80" s="522"/>
      <c r="L80" s="522"/>
      <c r="M80" s="522"/>
      <c r="N80" s="522"/>
      <c r="O80" s="522"/>
      <c r="P80" s="522"/>
      <c r="Q80" s="522"/>
      <c r="R80" s="64"/>
      <c r="S80" s="40"/>
      <c r="T80" s="40"/>
      <c r="U80" s="40"/>
    </row>
    <row r="81" spans="1:21" ht="13.8" x14ac:dyDescent="0.25">
      <c r="A81" s="522"/>
      <c r="B81" s="522"/>
      <c r="C81" s="522"/>
      <c r="D81" s="522"/>
      <c r="E81" s="522"/>
      <c r="F81" s="522"/>
      <c r="G81" s="522"/>
      <c r="H81" s="522"/>
      <c r="I81" s="522"/>
      <c r="J81" s="522"/>
      <c r="K81" s="522"/>
      <c r="L81" s="522"/>
      <c r="M81" s="522"/>
      <c r="N81" s="522"/>
      <c r="O81" s="522"/>
      <c r="P81" s="522"/>
      <c r="Q81" s="522"/>
      <c r="R81" s="64"/>
      <c r="S81" s="40"/>
      <c r="T81" s="40"/>
      <c r="U81" s="40"/>
    </row>
    <row r="82" spans="1:21" ht="13.8" x14ac:dyDescent="0.25">
      <c r="A82" s="522"/>
      <c r="B82" s="522"/>
      <c r="C82" s="522"/>
      <c r="D82" s="522"/>
      <c r="E82" s="522"/>
      <c r="F82" s="522"/>
      <c r="G82" s="522"/>
      <c r="H82" s="522"/>
      <c r="I82" s="522"/>
      <c r="J82" s="522"/>
      <c r="K82" s="522"/>
      <c r="L82" s="522"/>
      <c r="M82" s="522"/>
      <c r="N82" s="522"/>
      <c r="O82" s="522"/>
      <c r="P82" s="522"/>
      <c r="Q82" s="522"/>
      <c r="R82" s="64"/>
      <c r="S82" s="40"/>
      <c r="T82" s="40"/>
      <c r="U82" s="40"/>
    </row>
    <row r="83" spans="1:21" ht="13.8" x14ac:dyDescent="0.25">
      <c r="A83" s="522"/>
      <c r="B83" s="522"/>
      <c r="C83" s="522"/>
      <c r="D83" s="522"/>
      <c r="E83" s="522"/>
      <c r="F83" s="522"/>
      <c r="G83" s="522"/>
      <c r="H83" s="522"/>
      <c r="I83" s="522"/>
      <c r="J83" s="522"/>
      <c r="K83" s="522"/>
      <c r="L83" s="522"/>
      <c r="M83" s="522"/>
      <c r="N83" s="522"/>
      <c r="O83" s="522"/>
      <c r="P83" s="522"/>
      <c r="Q83" s="522"/>
      <c r="R83" s="64"/>
      <c r="S83" s="40"/>
      <c r="T83" s="40"/>
      <c r="U83" s="40"/>
    </row>
    <row r="84" spans="1:21" ht="13.8" x14ac:dyDescent="0.25">
      <c r="A84" s="522"/>
      <c r="B84" s="522"/>
      <c r="C84" s="522"/>
      <c r="D84" s="522"/>
      <c r="E84" s="522"/>
      <c r="F84" s="522"/>
      <c r="G84" s="522"/>
      <c r="H84" s="522"/>
      <c r="I84" s="522"/>
      <c r="J84" s="522"/>
      <c r="K84" s="522"/>
      <c r="L84" s="522"/>
      <c r="M84" s="522"/>
      <c r="N84" s="522"/>
      <c r="O84" s="522"/>
      <c r="P84" s="522"/>
      <c r="Q84" s="522"/>
      <c r="R84" s="64"/>
      <c r="S84" s="40"/>
      <c r="T84" s="40"/>
      <c r="U84" s="40"/>
    </row>
    <row r="85" spans="1:21" ht="13.8" x14ac:dyDescent="0.25">
      <c r="A85" s="522"/>
      <c r="B85" s="522"/>
      <c r="C85" s="522"/>
      <c r="D85" s="522"/>
      <c r="E85" s="522"/>
      <c r="F85" s="522"/>
      <c r="G85" s="522"/>
      <c r="H85" s="522"/>
      <c r="I85" s="522"/>
      <c r="J85" s="522"/>
      <c r="K85" s="522"/>
      <c r="L85" s="522"/>
      <c r="M85" s="522"/>
      <c r="N85" s="522"/>
      <c r="O85" s="522"/>
      <c r="P85" s="522"/>
      <c r="Q85" s="522"/>
      <c r="R85" s="64"/>
      <c r="S85" s="40"/>
      <c r="T85" s="40"/>
      <c r="U85" s="40"/>
    </row>
    <row r="86" spans="1:21" ht="13.8" x14ac:dyDescent="0.25">
      <c r="A86" s="522"/>
      <c r="B86" s="522"/>
      <c r="C86" s="522"/>
      <c r="D86" s="522"/>
      <c r="E86" s="522"/>
      <c r="F86" s="522"/>
      <c r="G86" s="522"/>
      <c r="H86" s="522"/>
      <c r="I86" s="522"/>
      <c r="J86" s="522"/>
      <c r="K86" s="522"/>
      <c r="L86" s="522"/>
      <c r="M86" s="522"/>
      <c r="N86" s="522"/>
      <c r="O86" s="522"/>
      <c r="P86" s="522"/>
      <c r="Q86" s="522"/>
      <c r="R86" s="64"/>
      <c r="S86" s="40"/>
      <c r="T86" s="40"/>
      <c r="U86" s="40"/>
    </row>
    <row r="87" spans="1:21" ht="13.8" x14ac:dyDescent="0.25">
      <c r="A87" s="522"/>
      <c r="B87" s="522"/>
      <c r="C87" s="522"/>
      <c r="D87" s="522"/>
      <c r="E87" s="522"/>
      <c r="F87" s="522"/>
      <c r="G87" s="522"/>
      <c r="H87" s="522"/>
      <c r="I87" s="522"/>
      <c r="J87" s="522"/>
      <c r="K87" s="522"/>
      <c r="L87" s="522"/>
      <c r="M87" s="522"/>
      <c r="N87" s="522"/>
      <c r="O87" s="522"/>
      <c r="P87" s="522"/>
      <c r="Q87" s="522"/>
      <c r="R87" s="64"/>
      <c r="S87" s="40"/>
      <c r="T87" s="40"/>
      <c r="U87" s="40"/>
    </row>
    <row r="88" spans="1:21" ht="13.8" x14ac:dyDescent="0.25">
      <c r="A88" s="522"/>
      <c r="B88" s="522"/>
      <c r="C88" s="522"/>
      <c r="D88" s="522"/>
      <c r="E88" s="522"/>
      <c r="F88" s="522"/>
      <c r="G88" s="522"/>
      <c r="H88" s="522"/>
      <c r="I88" s="522"/>
      <c r="J88" s="522"/>
      <c r="K88" s="522"/>
      <c r="L88" s="522"/>
      <c r="M88" s="522"/>
      <c r="N88" s="522"/>
      <c r="O88" s="522"/>
      <c r="P88" s="522"/>
      <c r="Q88" s="522"/>
      <c r="R88" s="64"/>
      <c r="S88" s="40"/>
      <c r="T88" s="40"/>
      <c r="U88" s="40"/>
    </row>
    <row r="89" spans="1:21" ht="13.8" x14ac:dyDescent="0.25">
      <c r="A89" s="522"/>
      <c r="B89" s="522"/>
      <c r="C89" s="522"/>
      <c r="D89" s="522"/>
      <c r="E89" s="522"/>
      <c r="F89" s="522"/>
      <c r="G89" s="522"/>
      <c r="H89" s="522"/>
      <c r="I89" s="522"/>
      <c r="J89" s="522"/>
      <c r="K89" s="522"/>
      <c r="L89" s="522"/>
      <c r="M89" s="522"/>
      <c r="N89" s="522"/>
      <c r="O89" s="522"/>
      <c r="P89" s="522"/>
      <c r="Q89" s="522"/>
      <c r="R89" s="64"/>
      <c r="S89" s="40"/>
      <c r="T89" s="40"/>
      <c r="U89" s="40"/>
    </row>
    <row r="90" spans="1:21" ht="13.8" x14ac:dyDescent="0.25">
      <c r="A90" s="522"/>
      <c r="B90" s="522"/>
      <c r="C90" s="522"/>
      <c r="D90" s="522"/>
      <c r="E90" s="522"/>
      <c r="F90" s="522"/>
      <c r="G90" s="522"/>
      <c r="H90" s="522"/>
      <c r="I90" s="522"/>
      <c r="J90" s="522"/>
      <c r="K90" s="522"/>
      <c r="L90" s="522"/>
      <c r="M90" s="522"/>
      <c r="N90" s="522"/>
      <c r="O90" s="522"/>
      <c r="P90" s="522"/>
      <c r="Q90" s="522"/>
      <c r="R90" s="64"/>
      <c r="S90" s="40"/>
      <c r="T90" s="40"/>
      <c r="U90" s="40"/>
    </row>
    <row r="91" spans="1:21" ht="13.8" x14ac:dyDescent="0.25">
      <c r="A91" s="522"/>
      <c r="B91" s="522"/>
      <c r="C91" s="522"/>
      <c r="D91" s="522"/>
      <c r="E91" s="522"/>
      <c r="F91" s="522"/>
      <c r="G91" s="522"/>
      <c r="H91" s="522"/>
      <c r="I91" s="522"/>
      <c r="J91" s="522"/>
      <c r="K91" s="522"/>
      <c r="L91" s="522"/>
      <c r="M91" s="522"/>
      <c r="N91" s="522"/>
      <c r="O91" s="522"/>
      <c r="P91" s="522"/>
      <c r="Q91" s="522"/>
      <c r="R91" s="64"/>
      <c r="S91" s="40"/>
      <c r="T91" s="40"/>
      <c r="U91" s="40"/>
    </row>
    <row r="92" spans="1:21" ht="13.8" x14ac:dyDescent="0.25">
      <c r="A92" s="522"/>
      <c r="B92" s="522"/>
      <c r="C92" s="522"/>
      <c r="D92" s="522"/>
      <c r="E92" s="522"/>
      <c r="F92" s="522"/>
      <c r="G92" s="522"/>
      <c r="H92" s="522"/>
      <c r="I92" s="522"/>
      <c r="J92" s="522"/>
      <c r="K92" s="522"/>
      <c r="L92" s="522"/>
      <c r="M92" s="522"/>
      <c r="N92" s="522"/>
      <c r="O92" s="522"/>
      <c r="P92" s="522"/>
      <c r="Q92" s="522"/>
      <c r="R92" s="64"/>
      <c r="S92" s="40"/>
      <c r="T92" s="40"/>
      <c r="U92" s="40"/>
    </row>
    <row r="93" spans="1:21" ht="13.8" x14ac:dyDescent="0.25">
      <c r="A93" s="522"/>
      <c r="B93" s="522"/>
      <c r="C93" s="522"/>
      <c r="D93" s="522"/>
      <c r="E93" s="522"/>
      <c r="F93" s="522"/>
      <c r="G93" s="522"/>
      <c r="H93" s="522"/>
      <c r="I93" s="522"/>
      <c r="J93" s="522"/>
      <c r="K93" s="522"/>
      <c r="L93" s="522"/>
      <c r="M93" s="522"/>
      <c r="N93" s="522"/>
      <c r="O93" s="522"/>
      <c r="P93" s="522"/>
      <c r="Q93" s="522"/>
      <c r="R93" s="64"/>
      <c r="S93" s="40"/>
      <c r="T93" s="40"/>
      <c r="U93" s="40"/>
    </row>
    <row r="94" spans="1:21" ht="13.8" x14ac:dyDescent="0.25">
      <c r="A94" s="522"/>
      <c r="B94" s="522"/>
      <c r="C94" s="522"/>
      <c r="D94" s="522"/>
      <c r="E94" s="522"/>
      <c r="F94" s="522"/>
      <c r="G94" s="522"/>
      <c r="H94" s="522"/>
      <c r="I94" s="522"/>
      <c r="J94" s="522"/>
      <c r="K94" s="522"/>
      <c r="L94" s="522"/>
      <c r="M94" s="522"/>
      <c r="N94" s="522"/>
      <c r="O94" s="522"/>
      <c r="P94" s="522"/>
      <c r="Q94" s="522"/>
      <c r="R94" s="64"/>
      <c r="S94" s="40"/>
      <c r="T94" s="40"/>
      <c r="U94" s="40"/>
    </row>
    <row r="95" spans="1:21" ht="13.8" x14ac:dyDescent="0.25">
      <c r="A95" s="522"/>
      <c r="B95" s="522"/>
      <c r="C95" s="522"/>
      <c r="D95" s="522"/>
      <c r="E95" s="522"/>
      <c r="F95" s="522"/>
      <c r="G95" s="522"/>
      <c r="H95" s="522"/>
      <c r="I95" s="522"/>
      <c r="J95" s="522"/>
      <c r="K95" s="522"/>
      <c r="L95" s="522"/>
      <c r="M95" s="522"/>
      <c r="N95" s="522"/>
      <c r="O95" s="522"/>
      <c r="P95" s="522"/>
      <c r="Q95" s="522"/>
      <c r="R95" s="64"/>
      <c r="S95" s="40"/>
      <c r="T95" s="40"/>
      <c r="U95" s="40"/>
    </row>
    <row r="96" spans="1:21" ht="13.8" x14ac:dyDescent="0.25">
      <c r="A96" s="522"/>
      <c r="B96" s="522"/>
      <c r="C96" s="522"/>
      <c r="D96" s="522"/>
      <c r="E96" s="522"/>
      <c r="F96" s="522"/>
      <c r="G96" s="522"/>
      <c r="H96" s="522"/>
      <c r="I96" s="522"/>
      <c r="J96" s="522"/>
      <c r="K96" s="522"/>
      <c r="L96" s="522"/>
      <c r="M96" s="522"/>
      <c r="N96" s="522"/>
      <c r="O96" s="522"/>
      <c r="P96" s="522"/>
      <c r="Q96" s="522"/>
      <c r="R96" s="64"/>
      <c r="S96" s="40"/>
      <c r="T96" s="40"/>
      <c r="U96" s="40"/>
    </row>
    <row r="97" spans="1:21" ht="13.8" x14ac:dyDescent="0.25">
      <c r="A97" s="522"/>
      <c r="B97" s="522"/>
      <c r="C97" s="522"/>
      <c r="D97" s="522"/>
      <c r="E97" s="522"/>
      <c r="F97" s="522"/>
      <c r="G97" s="522"/>
      <c r="H97" s="522"/>
      <c r="I97" s="522"/>
      <c r="J97" s="522"/>
      <c r="K97" s="522"/>
      <c r="L97" s="522"/>
      <c r="M97" s="522"/>
      <c r="N97" s="522"/>
      <c r="O97" s="522"/>
      <c r="P97" s="522"/>
      <c r="Q97" s="522"/>
      <c r="R97" s="64"/>
      <c r="S97" s="40"/>
      <c r="T97" s="40"/>
      <c r="U97" s="40"/>
    </row>
    <row r="98" spans="1:21" ht="13.8" x14ac:dyDescent="0.25">
      <c r="A98" s="522"/>
      <c r="B98" s="522"/>
      <c r="C98" s="522"/>
      <c r="D98" s="522"/>
      <c r="E98" s="522"/>
      <c r="F98" s="522"/>
      <c r="G98" s="522"/>
      <c r="H98" s="522"/>
      <c r="I98" s="522"/>
      <c r="J98" s="522"/>
      <c r="K98" s="522"/>
      <c r="L98" s="522"/>
      <c r="M98" s="522"/>
      <c r="N98" s="522"/>
      <c r="O98" s="522"/>
      <c r="P98" s="522"/>
      <c r="Q98" s="522"/>
      <c r="R98" s="64"/>
      <c r="S98" s="40"/>
      <c r="T98" s="40"/>
      <c r="U98" s="40"/>
    </row>
    <row r="99" spans="1:21" ht="13.8" x14ac:dyDescent="0.25">
      <c r="A99" s="522"/>
      <c r="B99" s="522"/>
      <c r="C99" s="522"/>
      <c r="D99" s="522"/>
      <c r="E99" s="522"/>
      <c r="F99" s="522"/>
      <c r="G99" s="522"/>
      <c r="H99" s="522"/>
      <c r="I99" s="522"/>
      <c r="J99" s="522"/>
      <c r="K99" s="522"/>
      <c r="L99" s="522"/>
      <c r="M99" s="522"/>
      <c r="N99" s="522"/>
      <c r="O99" s="522"/>
      <c r="P99" s="522"/>
      <c r="Q99" s="522"/>
      <c r="R99" s="64"/>
      <c r="S99" s="40"/>
      <c r="T99" s="40"/>
      <c r="U99" s="40"/>
    </row>
    <row r="100" spans="1:21" ht="13.8" x14ac:dyDescent="0.25">
      <c r="A100" s="522"/>
      <c r="B100" s="522"/>
      <c r="C100" s="522"/>
      <c r="D100" s="522"/>
      <c r="E100" s="522"/>
      <c r="F100" s="522"/>
      <c r="G100" s="522"/>
      <c r="H100" s="522"/>
      <c r="I100" s="522"/>
      <c r="J100" s="522"/>
      <c r="K100" s="522"/>
      <c r="L100" s="522"/>
      <c r="M100" s="522"/>
      <c r="N100" s="522"/>
      <c r="O100" s="522"/>
      <c r="P100" s="522"/>
      <c r="Q100" s="522"/>
      <c r="R100" s="64"/>
      <c r="S100" s="40"/>
      <c r="T100" s="40"/>
      <c r="U100" s="40"/>
    </row>
    <row r="101" spans="1:21" ht="13.8" x14ac:dyDescent="0.25">
      <c r="A101" s="522"/>
      <c r="B101" s="522"/>
      <c r="C101" s="522"/>
      <c r="D101" s="522"/>
      <c r="E101" s="522"/>
      <c r="F101" s="522"/>
      <c r="G101" s="522"/>
      <c r="H101" s="522"/>
      <c r="I101" s="522"/>
      <c r="J101" s="522"/>
      <c r="K101" s="522"/>
      <c r="L101" s="522"/>
      <c r="M101" s="522"/>
      <c r="N101" s="522"/>
      <c r="O101" s="522"/>
      <c r="P101" s="522"/>
      <c r="Q101" s="522"/>
      <c r="R101" s="64"/>
      <c r="S101" s="40"/>
      <c r="T101" s="40"/>
      <c r="U101" s="40"/>
    </row>
    <row r="102" spans="1:21" ht="13.8" x14ac:dyDescent="0.25">
      <c r="A102" s="522"/>
      <c r="B102" s="522"/>
      <c r="C102" s="522"/>
      <c r="D102" s="522"/>
      <c r="E102" s="522"/>
      <c r="F102" s="522"/>
      <c r="G102" s="522"/>
      <c r="H102" s="522"/>
      <c r="I102" s="522"/>
      <c r="J102" s="522"/>
      <c r="K102" s="522"/>
      <c r="L102" s="522"/>
      <c r="M102" s="522"/>
      <c r="N102" s="522"/>
      <c r="O102" s="522"/>
      <c r="P102" s="522"/>
      <c r="Q102" s="522"/>
      <c r="R102" s="64"/>
      <c r="S102" s="40"/>
      <c r="T102" s="40"/>
      <c r="U102" s="40"/>
    </row>
    <row r="103" spans="1:21" ht="13.8" x14ac:dyDescent="0.25">
      <c r="A103" s="522"/>
      <c r="B103" s="522"/>
      <c r="C103" s="522"/>
      <c r="D103" s="522"/>
      <c r="E103" s="522"/>
      <c r="F103" s="522"/>
      <c r="G103" s="522"/>
      <c r="H103" s="522"/>
      <c r="I103" s="522"/>
      <c r="J103" s="522"/>
      <c r="K103" s="522"/>
      <c r="L103" s="522"/>
      <c r="M103" s="522"/>
      <c r="N103" s="522"/>
      <c r="O103" s="522"/>
      <c r="P103" s="522"/>
      <c r="Q103" s="522"/>
    </row>
    <row r="104" spans="1:21" ht="13.8" x14ac:dyDescent="0.25">
      <c r="A104" s="522"/>
      <c r="B104" s="522"/>
      <c r="C104" s="522"/>
      <c r="D104" s="522"/>
      <c r="E104" s="522"/>
      <c r="F104" s="522"/>
      <c r="G104" s="522"/>
      <c r="H104" s="522"/>
      <c r="I104" s="522"/>
      <c r="J104" s="522"/>
      <c r="K104" s="522"/>
      <c r="L104" s="522"/>
      <c r="M104" s="522"/>
      <c r="N104" s="522"/>
      <c r="O104" s="522"/>
      <c r="P104" s="522"/>
      <c r="Q104" s="522"/>
    </row>
    <row r="105" spans="1:21" ht="13.8" x14ac:dyDescent="0.25">
      <c r="A105" s="522"/>
      <c r="B105" s="522"/>
      <c r="C105" s="522"/>
      <c r="D105" s="522"/>
      <c r="E105" s="522"/>
      <c r="F105" s="522"/>
      <c r="G105" s="522"/>
      <c r="H105" s="522"/>
      <c r="I105" s="522"/>
      <c r="J105" s="522"/>
      <c r="K105" s="522"/>
      <c r="L105" s="522"/>
      <c r="M105" s="522"/>
      <c r="N105" s="522"/>
      <c r="O105" s="522"/>
      <c r="P105" s="522"/>
      <c r="Q105" s="522"/>
    </row>
    <row r="106" spans="1:21" ht="13.8" x14ac:dyDescent="0.25">
      <c r="A106" s="522"/>
      <c r="B106" s="522"/>
      <c r="C106" s="522"/>
      <c r="D106" s="522"/>
      <c r="E106" s="522"/>
      <c r="F106" s="522"/>
      <c r="G106" s="522"/>
      <c r="H106" s="522"/>
      <c r="I106" s="522"/>
      <c r="J106" s="522"/>
      <c r="K106" s="522"/>
      <c r="L106" s="522"/>
      <c r="M106" s="522"/>
      <c r="N106" s="522"/>
      <c r="O106" s="522"/>
      <c r="P106" s="522"/>
      <c r="Q106" s="522"/>
    </row>
    <row r="107" spans="1:21" ht="13.8" x14ac:dyDescent="0.25">
      <c r="A107" s="522"/>
      <c r="B107" s="522"/>
      <c r="C107" s="522"/>
      <c r="D107" s="522"/>
      <c r="E107" s="522"/>
      <c r="F107" s="522"/>
      <c r="G107" s="522"/>
      <c r="H107" s="522"/>
      <c r="I107" s="522"/>
      <c r="J107" s="522"/>
      <c r="K107" s="522"/>
      <c r="L107" s="522"/>
      <c r="M107" s="522"/>
      <c r="N107" s="522"/>
      <c r="O107" s="522"/>
      <c r="P107" s="522"/>
      <c r="Q107" s="522"/>
    </row>
    <row r="108" spans="1:21" ht="13.8" x14ac:dyDescent="0.25">
      <c r="A108" s="522"/>
      <c r="B108" s="522"/>
      <c r="C108" s="522"/>
      <c r="D108" s="522"/>
      <c r="E108" s="522"/>
      <c r="F108" s="522"/>
      <c r="G108" s="522"/>
      <c r="H108" s="522"/>
      <c r="I108" s="522"/>
      <c r="J108" s="522"/>
      <c r="K108" s="522"/>
      <c r="L108" s="522"/>
      <c r="M108" s="522"/>
      <c r="N108" s="522"/>
      <c r="O108" s="522"/>
      <c r="P108" s="522"/>
      <c r="Q108" s="522"/>
    </row>
    <row r="109" spans="1:21" ht="26.4" customHeight="1" x14ac:dyDescent="0.25">
      <c r="A109" s="522"/>
      <c r="B109" s="522"/>
      <c r="C109" s="522"/>
      <c r="D109" s="522"/>
      <c r="E109" s="522"/>
      <c r="F109" s="522"/>
      <c r="G109" s="522"/>
      <c r="H109" s="522"/>
      <c r="I109" s="522"/>
      <c r="J109" s="522"/>
      <c r="K109" s="522"/>
      <c r="L109" s="522"/>
      <c r="M109" s="522"/>
      <c r="N109" s="522"/>
      <c r="O109" s="522"/>
      <c r="P109" s="522"/>
      <c r="Q109" s="522"/>
    </row>
    <row r="110" spans="1:21" ht="13.8" x14ac:dyDescent="0.25">
      <c r="A110" s="522"/>
      <c r="B110" s="522"/>
      <c r="C110" s="522"/>
      <c r="D110" s="522"/>
      <c r="E110" s="522"/>
      <c r="F110" s="522"/>
      <c r="G110" s="522"/>
      <c r="H110" s="522"/>
      <c r="I110" s="522"/>
      <c r="J110" s="522"/>
      <c r="K110" s="522"/>
      <c r="L110" s="522"/>
      <c r="M110" s="522"/>
      <c r="N110" s="522"/>
      <c r="O110" s="522"/>
      <c r="P110" s="522"/>
      <c r="Q110" s="522"/>
    </row>
    <row r="111" spans="1:21" ht="13.8" x14ac:dyDescent="0.25">
      <c r="A111" s="522"/>
      <c r="B111" s="522"/>
      <c r="C111" s="522"/>
      <c r="D111" s="522"/>
      <c r="E111" s="522"/>
      <c r="F111" s="522"/>
      <c r="G111" s="522"/>
      <c r="H111" s="522"/>
      <c r="I111" s="522"/>
      <c r="J111" s="522"/>
      <c r="K111" s="522"/>
      <c r="L111" s="522"/>
      <c r="M111" s="522"/>
      <c r="N111" s="522"/>
      <c r="O111" s="522"/>
      <c r="P111" s="522"/>
      <c r="Q111" s="522"/>
    </row>
    <row r="112" spans="1:21" ht="13.8" x14ac:dyDescent="0.25">
      <c r="A112" s="522"/>
      <c r="B112" s="522"/>
      <c r="C112" s="522"/>
      <c r="D112" s="522"/>
      <c r="E112" s="522"/>
      <c r="F112" s="522"/>
      <c r="G112" s="522"/>
      <c r="H112" s="522"/>
      <c r="I112" s="522"/>
      <c r="J112" s="522"/>
      <c r="K112" s="522"/>
      <c r="L112" s="522"/>
      <c r="M112" s="522"/>
      <c r="N112" s="522"/>
      <c r="O112" s="522"/>
      <c r="P112" s="522"/>
      <c r="Q112" s="522"/>
    </row>
    <row r="113" spans="1:17" ht="13.8" x14ac:dyDescent="0.25">
      <c r="A113" s="522"/>
      <c r="B113" s="522"/>
      <c r="C113" s="522"/>
      <c r="D113" s="522"/>
      <c r="E113" s="522"/>
      <c r="F113" s="522"/>
      <c r="G113" s="522"/>
      <c r="H113" s="522"/>
      <c r="I113" s="522"/>
      <c r="J113" s="522"/>
      <c r="K113" s="522"/>
      <c r="L113" s="522"/>
      <c r="M113" s="522"/>
      <c r="N113" s="522"/>
      <c r="O113" s="522"/>
      <c r="P113" s="522"/>
      <c r="Q113" s="522"/>
    </row>
    <row r="114" spans="1:17" ht="13.8" x14ac:dyDescent="0.25">
      <c r="A114" s="522"/>
      <c r="B114" s="522"/>
      <c r="C114" s="522"/>
      <c r="D114" s="522"/>
      <c r="E114" s="522"/>
      <c r="F114" s="522"/>
      <c r="G114" s="522"/>
      <c r="H114" s="522"/>
      <c r="I114" s="522"/>
      <c r="J114" s="522"/>
      <c r="K114" s="522"/>
      <c r="L114" s="522"/>
      <c r="M114" s="522"/>
      <c r="N114" s="522"/>
      <c r="O114" s="522"/>
      <c r="P114" s="522"/>
      <c r="Q114" s="522"/>
    </row>
    <row r="115" spans="1:17" ht="13.8" x14ac:dyDescent="0.25">
      <c r="A115" s="522"/>
      <c r="B115" s="522"/>
      <c r="C115" s="522"/>
      <c r="D115" s="522"/>
      <c r="E115" s="522"/>
      <c r="F115" s="522"/>
      <c r="G115" s="522"/>
      <c r="H115" s="522"/>
      <c r="I115" s="522"/>
      <c r="J115" s="522"/>
      <c r="K115" s="522"/>
      <c r="L115" s="522"/>
      <c r="M115" s="522"/>
      <c r="N115" s="522"/>
      <c r="O115" s="522"/>
      <c r="P115" s="522"/>
      <c r="Q115" s="522"/>
    </row>
    <row r="116" spans="1:17" ht="13.8" x14ac:dyDescent="0.25">
      <c r="A116" s="522"/>
      <c r="B116" s="522"/>
      <c r="C116" s="522"/>
      <c r="D116" s="522"/>
      <c r="E116" s="522"/>
      <c r="F116" s="522"/>
      <c r="G116" s="522"/>
      <c r="H116" s="522"/>
      <c r="I116" s="522"/>
      <c r="J116" s="522"/>
      <c r="K116" s="522"/>
      <c r="L116" s="522"/>
      <c r="M116" s="522"/>
      <c r="N116" s="522"/>
      <c r="O116" s="522"/>
      <c r="P116" s="522"/>
      <c r="Q116" s="522"/>
    </row>
    <row r="117" spans="1:17" ht="13.8" x14ac:dyDescent="0.25">
      <c r="A117" s="522"/>
      <c r="B117" s="522"/>
      <c r="C117" s="522"/>
      <c r="D117" s="522"/>
      <c r="E117" s="522"/>
      <c r="F117" s="522"/>
      <c r="G117" s="522"/>
      <c r="H117" s="522"/>
      <c r="I117" s="522"/>
      <c r="J117" s="522"/>
      <c r="K117" s="522"/>
      <c r="L117" s="522"/>
      <c r="M117" s="522"/>
      <c r="N117" s="522"/>
      <c r="O117" s="522"/>
      <c r="P117" s="522"/>
      <c r="Q117" s="522"/>
    </row>
    <row r="118" spans="1:17" ht="13.8" x14ac:dyDescent="0.25">
      <c r="A118" s="522"/>
      <c r="B118" s="522"/>
      <c r="C118" s="522"/>
      <c r="D118" s="522"/>
      <c r="E118" s="522"/>
      <c r="F118" s="522"/>
      <c r="G118" s="522"/>
      <c r="H118" s="522"/>
      <c r="I118" s="522"/>
      <c r="J118" s="522"/>
      <c r="K118" s="522"/>
      <c r="L118" s="522"/>
      <c r="M118" s="522"/>
      <c r="N118" s="522"/>
      <c r="O118" s="522"/>
      <c r="P118" s="522"/>
      <c r="Q118" s="522"/>
    </row>
    <row r="119" spans="1:17" ht="13.8" x14ac:dyDescent="0.25">
      <c r="A119" s="522"/>
      <c r="B119" s="522"/>
      <c r="C119" s="522"/>
      <c r="D119" s="522"/>
      <c r="E119" s="522"/>
      <c r="F119" s="522"/>
      <c r="G119" s="522"/>
      <c r="H119" s="522"/>
      <c r="I119" s="522"/>
      <c r="J119" s="522"/>
      <c r="K119" s="522"/>
      <c r="L119" s="522"/>
      <c r="M119" s="522"/>
      <c r="N119" s="522"/>
      <c r="O119" s="522"/>
      <c r="P119" s="522"/>
      <c r="Q119" s="522"/>
    </row>
    <row r="120" spans="1:17" ht="13.8" x14ac:dyDescent="0.25">
      <c r="A120" s="522"/>
      <c r="B120" s="522"/>
      <c r="C120" s="522"/>
      <c r="D120" s="522"/>
      <c r="E120" s="522"/>
      <c r="F120" s="522"/>
      <c r="G120" s="522"/>
      <c r="H120" s="522"/>
      <c r="I120" s="522"/>
      <c r="J120" s="522"/>
      <c r="K120" s="522"/>
      <c r="L120" s="522"/>
      <c r="M120" s="522"/>
      <c r="N120" s="522"/>
      <c r="O120" s="522"/>
      <c r="P120" s="522"/>
      <c r="Q120" s="522"/>
    </row>
    <row r="121" spans="1:17" ht="13.8" x14ac:dyDescent="0.25">
      <c r="A121" s="522"/>
      <c r="B121" s="522"/>
      <c r="C121" s="522"/>
      <c r="D121" s="522"/>
      <c r="E121" s="522"/>
      <c r="F121" s="522"/>
      <c r="G121" s="522"/>
      <c r="H121" s="522"/>
      <c r="I121" s="522"/>
      <c r="J121" s="522"/>
      <c r="K121" s="522"/>
      <c r="L121" s="522"/>
      <c r="M121" s="522"/>
      <c r="N121" s="522"/>
      <c r="O121" s="522"/>
      <c r="P121" s="522"/>
      <c r="Q121" s="522"/>
    </row>
    <row r="122" spans="1:17" ht="13.8" x14ac:dyDescent="0.25">
      <c r="A122" s="522"/>
      <c r="B122" s="522"/>
      <c r="C122" s="522"/>
      <c r="D122" s="522"/>
      <c r="E122" s="522"/>
      <c r="F122" s="522"/>
      <c r="G122" s="522"/>
      <c r="H122" s="522"/>
      <c r="I122" s="522"/>
      <c r="J122" s="522"/>
      <c r="K122" s="522"/>
      <c r="L122" s="522"/>
      <c r="M122" s="522"/>
      <c r="N122" s="522"/>
      <c r="O122" s="522"/>
      <c r="P122" s="522"/>
      <c r="Q122" s="522"/>
    </row>
    <row r="123" spans="1:17" ht="13.8" x14ac:dyDescent="0.25">
      <c r="A123" s="522"/>
      <c r="B123" s="522"/>
      <c r="C123" s="522"/>
      <c r="D123" s="522"/>
      <c r="E123" s="522"/>
      <c r="F123" s="522"/>
      <c r="G123" s="522"/>
      <c r="H123" s="522"/>
      <c r="I123" s="522"/>
      <c r="J123" s="522"/>
      <c r="K123" s="522"/>
      <c r="L123" s="522"/>
      <c r="M123" s="522"/>
      <c r="N123" s="522"/>
      <c r="O123" s="522"/>
      <c r="P123" s="522"/>
      <c r="Q123" s="522"/>
    </row>
    <row r="124" spans="1:17" ht="13.8" x14ac:dyDescent="0.25">
      <c r="A124" s="522"/>
      <c r="B124" s="522"/>
      <c r="C124" s="522"/>
      <c r="D124" s="522"/>
      <c r="E124" s="522"/>
      <c r="F124" s="522"/>
      <c r="G124" s="522"/>
      <c r="H124" s="522"/>
      <c r="I124" s="522"/>
      <c r="J124" s="522"/>
      <c r="K124" s="522"/>
      <c r="L124" s="522"/>
      <c r="M124" s="522"/>
      <c r="N124" s="522"/>
      <c r="O124" s="522"/>
      <c r="P124" s="522"/>
      <c r="Q124" s="522"/>
    </row>
    <row r="125" spans="1:17" ht="13.8" x14ac:dyDescent="0.25">
      <c r="A125" s="522"/>
      <c r="B125" s="522"/>
      <c r="C125" s="522"/>
      <c r="D125" s="522"/>
      <c r="E125" s="522"/>
      <c r="F125" s="522"/>
      <c r="G125" s="522"/>
      <c r="H125" s="522"/>
      <c r="I125" s="522"/>
      <c r="J125" s="522"/>
      <c r="K125" s="522"/>
      <c r="L125" s="522"/>
      <c r="M125" s="522"/>
      <c r="N125" s="522"/>
      <c r="O125" s="522"/>
      <c r="P125" s="522"/>
      <c r="Q125" s="522"/>
    </row>
    <row r="126" spans="1:17" ht="13.8" x14ac:dyDescent="0.25">
      <c r="A126" s="522"/>
      <c r="B126" s="522"/>
      <c r="C126" s="522"/>
      <c r="D126" s="522"/>
      <c r="E126" s="522"/>
      <c r="F126" s="522"/>
      <c r="G126" s="522"/>
      <c r="H126" s="522"/>
      <c r="I126" s="522"/>
      <c r="J126" s="522"/>
      <c r="K126" s="522"/>
      <c r="L126" s="522"/>
      <c r="M126" s="522"/>
      <c r="N126" s="522"/>
      <c r="O126" s="522"/>
      <c r="P126" s="522"/>
      <c r="Q126" s="522"/>
    </row>
    <row r="127" spans="1:17" ht="13.8" x14ac:dyDescent="0.25">
      <c r="A127" s="522"/>
      <c r="B127" s="522"/>
      <c r="C127" s="522"/>
      <c r="D127" s="522"/>
      <c r="E127" s="522"/>
      <c r="F127" s="522"/>
      <c r="G127" s="522"/>
      <c r="H127" s="522"/>
      <c r="I127" s="522"/>
      <c r="J127" s="522"/>
      <c r="K127" s="522"/>
      <c r="L127" s="522"/>
      <c r="M127" s="522"/>
      <c r="N127" s="522"/>
      <c r="O127" s="522"/>
      <c r="P127" s="522"/>
      <c r="Q127" s="522"/>
    </row>
    <row r="128" spans="1:17" ht="13.8" x14ac:dyDescent="0.25">
      <c r="A128" s="522"/>
      <c r="B128" s="522"/>
      <c r="C128" s="522"/>
      <c r="D128" s="522"/>
      <c r="E128" s="522"/>
      <c r="F128" s="522"/>
      <c r="G128" s="522"/>
      <c r="H128" s="522"/>
      <c r="I128" s="522"/>
      <c r="J128" s="522"/>
      <c r="K128" s="522"/>
      <c r="L128" s="522"/>
      <c r="M128" s="522"/>
      <c r="N128" s="522"/>
      <c r="O128" s="522"/>
      <c r="P128" s="522"/>
      <c r="Q128" s="522"/>
    </row>
    <row r="129" spans="1:17" ht="13.8" x14ac:dyDescent="0.25">
      <c r="A129" s="522"/>
      <c r="B129" s="522"/>
      <c r="C129" s="522"/>
      <c r="D129" s="522"/>
      <c r="E129" s="522"/>
      <c r="F129" s="522"/>
      <c r="G129" s="522"/>
      <c r="H129" s="522"/>
      <c r="I129" s="522"/>
      <c r="J129" s="522"/>
      <c r="K129" s="522"/>
      <c r="L129" s="522"/>
      <c r="M129" s="522"/>
      <c r="N129" s="522"/>
      <c r="O129" s="522"/>
      <c r="P129" s="522"/>
      <c r="Q129" s="522"/>
    </row>
    <row r="130" spans="1:17" ht="13.8" x14ac:dyDescent="0.25">
      <c r="A130" s="522"/>
      <c r="B130" s="522"/>
      <c r="C130" s="522"/>
      <c r="D130" s="522"/>
      <c r="E130" s="522"/>
      <c r="F130" s="522"/>
      <c r="G130" s="522"/>
      <c r="H130" s="522"/>
      <c r="I130" s="522"/>
      <c r="J130" s="522"/>
      <c r="K130" s="522"/>
      <c r="L130" s="522"/>
      <c r="M130" s="522"/>
      <c r="N130" s="522"/>
      <c r="O130" s="522"/>
      <c r="P130" s="522"/>
      <c r="Q130" s="522"/>
    </row>
    <row r="131" spans="1:17" ht="13.8" x14ac:dyDescent="0.25">
      <c r="A131" s="522"/>
      <c r="B131" s="522"/>
      <c r="C131" s="522"/>
      <c r="D131" s="522"/>
      <c r="E131" s="522"/>
      <c r="F131" s="522"/>
      <c r="G131" s="522"/>
      <c r="H131" s="522"/>
      <c r="I131" s="522"/>
      <c r="J131" s="522"/>
      <c r="K131" s="522"/>
      <c r="L131" s="522"/>
      <c r="M131" s="522"/>
      <c r="N131" s="522"/>
      <c r="O131" s="522"/>
      <c r="P131" s="522"/>
      <c r="Q131" s="522"/>
    </row>
    <row r="132" spans="1:17" ht="13.8" x14ac:dyDescent="0.25">
      <c r="A132" s="522"/>
      <c r="B132" s="522"/>
      <c r="C132" s="522"/>
      <c r="D132" s="522"/>
      <c r="E132" s="522"/>
      <c r="F132" s="522"/>
      <c r="G132" s="522"/>
      <c r="H132" s="522"/>
      <c r="I132" s="522"/>
      <c r="J132" s="522"/>
      <c r="K132" s="522"/>
      <c r="L132" s="522"/>
      <c r="M132" s="522"/>
      <c r="N132" s="522"/>
      <c r="O132" s="522"/>
      <c r="P132" s="522"/>
      <c r="Q132" s="522"/>
    </row>
    <row r="133" spans="1:17" ht="13.8" x14ac:dyDescent="0.25">
      <c r="A133" s="522"/>
      <c r="B133" s="522"/>
      <c r="C133" s="522"/>
      <c r="D133" s="522"/>
      <c r="E133" s="522"/>
      <c r="F133" s="522"/>
      <c r="G133" s="522"/>
      <c r="H133" s="522"/>
      <c r="I133" s="522"/>
      <c r="J133" s="522"/>
      <c r="K133" s="522"/>
      <c r="L133" s="522"/>
      <c r="M133" s="522"/>
      <c r="N133" s="522"/>
      <c r="O133" s="522"/>
      <c r="P133" s="522"/>
      <c r="Q133" s="522"/>
    </row>
    <row r="134" spans="1:17" ht="13.8" x14ac:dyDescent="0.25">
      <c r="A134" s="522"/>
      <c r="B134" s="522"/>
      <c r="C134" s="522"/>
      <c r="D134" s="522"/>
      <c r="E134" s="522"/>
      <c r="F134" s="522"/>
      <c r="G134" s="522"/>
      <c r="H134" s="522"/>
      <c r="I134" s="522"/>
      <c r="J134" s="522"/>
      <c r="K134" s="522"/>
      <c r="L134" s="522"/>
      <c r="M134" s="522"/>
      <c r="N134" s="522"/>
      <c r="O134" s="522"/>
      <c r="P134" s="522"/>
      <c r="Q134" s="522"/>
    </row>
    <row r="135" spans="1:17" ht="13.8" x14ac:dyDescent="0.25">
      <c r="A135" s="522"/>
      <c r="B135" s="522"/>
      <c r="C135" s="522"/>
      <c r="D135" s="522"/>
      <c r="E135" s="522"/>
      <c r="F135" s="522"/>
      <c r="G135" s="522"/>
      <c r="H135" s="522"/>
      <c r="I135" s="522"/>
      <c r="J135" s="522"/>
      <c r="K135" s="522"/>
      <c r="L135" s="522"/>
      <c r="M135" s="522"/>
      <c r="N135" s="522"/>
      <c r="O135" s="522"/>
      <c r="P135" s="522"/>
      <c r="Q135" s="522"/>
    </row>
    <row r="136" spans="1:17" ht="13.8" x14ac:dyDescent="0.25">
      <c r="A136" s="522"/>
      <c r="B136" s="522"/>
      <c r="C136" s="522"/>
      <c r="D136" s="522"/>
      <c r="E136" s="522"/>
      <c r="F136" s="522"/>
      <c r="G136" s="522"/>
      <c r="H136" s="522"/>
      <c r="I136" s="522"/>
      <c r="J136" s="522"/>
      <c r="K136" s="522"/>
      <c r="L136" s="522"/>
      <c r="M136" s="522"/>
      <c r="N136" s="522"/>
      <c r="O136" s="522"/>
      <c r="P136" s="522"/>
      <c r="Q136" s="522"/>
    </row>
    <row r="137" spans="1:17" ht="13.8" x14ac:dyDescent="0.25">
      <c r="A137" s="522"/>
      <c r="B137" s="522"/>
      <c r="C137" s="522"/>
      <c r="D137" s="522"/>
      <c r="E137" s="522"/>
      <c r="F137" s="522"/>
      <c r="G137" s="522"/>
      <c r="H137" s="522"/>
      <c r="I137" s="522"/>
      <c r="J137" s="522"/>
      <c r="K137" s="522"/>
      <c r="L137" s="522"/>
      <c r="M137" s="522"/>
      <c r="N137" s="522"/>
      <c r="O137" s="522"/>
      <c r="P137" s="522"/>
      <c r="Q137" s="522"/>
    </row>
    <row r="138" spans="1:17" ht="13.8" x14ac:dyDescent="0.25">
      <c r="A138" s="522"/>
      <c r="B138" s="522"/>
      <c r="C138" s="522"/>
      <c r="D138" s="522"/>
      <c r="E138" s="522"/>
      <c r="F138" s="522"/>
      <c r="G138" s="522"/>
      <c r="H138" s="522"/>
      <c r="I138" s="522"/>
      <c r="J138" s="522"/>
      <c r="K138" s="522"/>
      <c r="L138" s="522"/>
      <c r="M138" s="522"/>
      <c r="N138" s="522"/>
      <c r="O138" s="522"/>
      <c r="P138" s="522"/>
      <c r="Q138" s="522"/>
    </row>
    <row r="139" spans="1:17" ht="13.8" x14ac:dyDescent="0.25">
      <c r="A139" s="522"/>
      <c r="B139" s="522"/>
      <c r="C139" s="522"/>
      <c r="D139" s="522"/>
      <c r="E139" s="522"/>
      <c r="F139" s="522"/>
      <c r="G139" s="522"/>
      <c r="H139" s="522"/>
      <c r="I139" s="522"/>
      <c r="J139" s="522"/>
      <c r="K139" s="522"/>
      <c r="L139" s="522"/>
      <c r="M139" s="522"/>
      <c r="N139" s="522"/>
      <c r="O139" s="522"/>
      <c r="P139" s="522"/>
      <c r="Q139" s="522"/>
    </row>
    <row r="140" spans="1:17" ht="13.8" x14ac:dyDescent="0.25">
      <c r="A140" s="522"/>
      <c r="B140" s="522"/>
      <c r="C140" s="522"/>
      <c r="D140" s="522"/>
      <c r="E140" s="522"/>
      <c r="F140" s="522"/>
      <c r="G140" s="522"/>
      <c r="H140" s="522"/>
      <c r="I140" s="522"/>
      <c r="J140" s="522"/>
      <c r="K140" s="522"/>
      <c r="L140" s="522"/>
      <c r="M140" s="522"/>
      <c r="N140" s="522"/>
      <c r="O140" s="522"/>
      <c r="P140" s="522"/>
      <c r="Q140" s="522"/>
    </row>
    <row r="141" spans="1:17" ht="13.8" x14ac:dyDescent="0.25">
      <c r="A141" s="522"/>
      <c r="B141" s="522"/>
      <c r="C141" s="522"/>
      <c r="D141" s="522"/>
      <c r="E141" s="522"/>
      <c r="F141" s="522"/>
      <c r="G141" s="522"/>
      <c r="H141" s="522"/>
      <c r="I141" s="522"/>
      <c r="J141" s="522"/>
      <c r="K141" s="522"/>
      <c r="L141" s="522"/>
      <c r="M141" s="522"/>
      <c r="N141" s="522"/>
      <c r="O141" s="522"/>
      <c r="P141" s="522"/>
      <c r="Q141" s="522"/>
    </row>
    <row r="142" spans="1:17" ht="13.8" x14ac:dyDescent="0.25">
      <c r="A142" s="522"/>
      <c r="B142" s="522"/>
      <c r="C142" s="522"/>
      <c r="D142" s="522"/>
      <c r="E142" s="522"/>
      <c r="F142" s="522"/>
      <c r="G142" s="522"/>
      <c r="H142" s="522"/>
      <c r="I142" s="522"/>
      <c r="J142" s="522"/>
      <c r="K142" s="522"/>
      <c r="L142" s="522"/>
      <c r="M142" s="522"/>
      <c r="N142" s="522"/>
      <c r="O142" s="522"/>
      <c r="P142" s="522"/>
      <c r="Q142" s="522"/>
    </row>
    <row r="143" spans="1:17" ht="13.8" x14ac:dyDescent="0.25">
      <c r="A143" s="522"/>
      <c r="B143" s="522"/>
      <c r="C143" s="522"/>
      <c r="D143" s="522"/>
      <c r="E143" s="522"/>
      <c r="F143" s="522"/>
      <c r="G143" s="522"/>
      <c r="H143" s="522"/>
      <c r="I143" s="522"/>
      <c r="J143" s="522"/>
      <c r="K143" s="522"/>
      <c r="L143" s="522"/>
      <c r="M143" s="522"/>
      <c r="N143" s="522"/>
      <c r="O143" s="522"/>
      <c r="P143" s="522"/>
      <c r="Q143" s="522"/>
    </row>
    <row r="144" spans="1:17" ht="13.8" x14ac:dyDescent="0.25">
      <c r="A144" s="522"/>
      <c r="B144" s="522"/>
      <c r="C144" s="522"/>
      <c r="D144" s="522"/>
      <c r="E144" s="522"/>
      <c r="F144" s="522"/>
      <c r="G144" s="522"/>
      <c r="H144" s="522"/>
      <c r="I144" s="522"/>
      <c r="J144" s="522"/>
      <c r="K144" s="522"/>
      <c r="L144" s="522"/>
      <c r="M144" s="522"/>
      <c r="N144" s="522"/>
      <c r="O144" s="522"/>
      <c r="P144" s="522"/>
      <c r="Q144" s="522"/>
    </row>
    <row r="145" spans="1:17" ht="13.8" x14ac:dyDescent="0.25">
      <c r="A145" s="522"/>
      <c r="B145" s="522"/>
      <c r="C145" s="522"/>
      <c r="D145" s="522"/>
      <c r="E145" s="522"/>
      <c r="F145" s="522"/>
      <c r="G145" s="522"/>
      <c r="H145" s="522"/>
      <c r="I145" s="522"/>
      <c r="J145" s="522"/>
      <c r="K145" s="522"/>
      <c r="L145" s="522"/>
      <c r="M145" s="522"/>
      <c r="N145" s="522"/>
      <c r="O145" s="522"/>
      <c r="P145" s="522"/>
      <c r="Q145" s="522"/>
    </row>
    <row r="146" spans="1:17" ht="13.8" x14ac:dyDescent="0.25">
      <c r="A146" s="522"/>
      <c r="B146" s="522"/>
      <c r="C146" s="522"/>
      <c r="D146" s="522"/>
      <c r="E146" s="522"/>
      <c r="F146" s="522"/>
      <c r="G146" s="522"/>
      <c r="H146" s="522"/>
      <c r="I146" s="522"/>
      <c r="J146" s="522"/>
      <c r="K146" s="522"/>
      <c r="L146" s="522"/>
      <c r="M146" s="522"/>
      <c r="N146" s="522"/>
      <c r="O146" s="522"/>
      <c r="P146" s="522"/>
      <c r="Q146" s="522"/>
    </row>
    <row r="147" spans="1:17" ht="13.8" x14ac:dyDescent="0.25">
      <c r="A147" s="522"/>
      <c r="B147" s="522"/>
      <c r="C147" s="522"/>
      <c r="D147" s="522"/>
      <c r="E147" s="522"/>
      <c r="F147" s="522"/>
      <c r="G147" s="522"/>
      <c r="H147" s="522"/>
      <c r="I147" s="522"/>
      <c r="J147" s="522"/>
      <c r="K147" s="522"/>
      <c r="L147" s="522"/>
      <c r="M147" s="522"/>
      <c r="N147" s="522"/>
      <c r="O147" s="522"/>
      <c r="P147" s="522"/>
      <c r="Q147" s="522"/>
    </row>
    <row r="148" spans="1:17" ht="13.8" x14ac:dyDescent="0.25">
      <c r="A148" s="522"/>
      <c r="B148" s="522"/>
      <c r="C148" s="522"/>
      <c r="D148" s="522"/>
      <c r="E148" s="522"/>
      <c r="F148" s="522"/>
      <c r="G148" s="522"/>
      <c r="H148" s="522"/>
      <c r="I148" s="522"/>
      <c r="J148" s="522"/>
      <c r="K148" s="522"/>
      <c r="L148" s="522"/>
      <c r="M148" s="522"/>
      <c r="N148" s="522"/>
      <c r="O148" s="522"/>
      <c r="P148" s="522"/>
      <c r="Q148" s="522"/>
    </row>
    <row r="149" spans="1:17" ht="13.8" x14ac:dyDescent="0.25">
      <c r="A149" s="522"/>
      <c r="B149" s="522"/>
      <c r="C149" s="522"/>
      <c r="D149" s="522"/>
      <c r="E149" s="522"/>
      <c r="F149" s="522"/>
      <c r="G149" s="522"/>
      <c r="H149" s="522"/>
      <c r="I149" s="522"/>
      <c r="J149" s="522"/>
      <c r="K149" s="522"/>
      <c r="L149" s="522"/>
      <c r="M149" s="522"/>
      <c r="N149" s="522"/>
      <c r="O149" s="522"/>
      <c r="P149" s="522"/>
      <c r="Q149" s="522"/>
    </row>
    <row r="150" spans="1:17" ht="13.8" x14ac:dyDescent="0.25">
      <c r="A150" s="522"/>
      <c r="B150" s="522"/>
      <c r="C150" s="522"/>
      <c r="D150" s="522"/>
      <c r="E150" s="522"/>
      <c r="F150" s="522"/>
      <c r="G150" s="522"/>
      <c r="H150" s="522"/>
      <c r="I150" s="522"/>
      <c r="J150" s="522"/>
      <c r="K150" s="522"/>
      <c r="L150" s="522"/>
      <c r="M150" s="522"/>
      <c r="N150" s="522"/>
      <c r="O150" s="522"/>
      <c r="P150" s="522"/>
      <c r="Q150" s="522"/>
    </row>
    <row r="151" spans="1:17" ht="13.8" x14ac:dyDescent="0.25">
      <c r="A151" s="522"/>
      <c r="B151" s="522"/>
      <c r="C151" s="522"/>
      <c r="D151" s="522"/>
      <c r="E151" s="522"/>
      <c r="F151" s="522"/>
      <c r="G151" s="522"/>
      <c r="H151" s="522"/>
      <c r="I151" s="522"/>
      <c r="J151" s="522"/>
      <c r="K151" s="522"/>
      <c r="L151" s="522"/>
      <c r="M151" s="522"/>
      <c r="N151" s="522"/>
      <c r="O151" s="522"/>
      <c r="P151" s="522"/>
      <c r="Q151" s="522"/>
    </row>
    <row r="152" spans="1:17" ht="13.8" x14ac:dyDescent="0.25">
      <c r="A152" s="522"/>
      <c r="B152" s="522"/>
      <c r="C152" s="522"/>
      <c r="D152" s="522"/>
      <c r="E152" s="522"/>
      <c r="F152" s="522"/>
      <c r="G152" s="522"/>
      <c r="H152" s="522"/>
      <c r="I152" s="522"/>
      <c r="J152" s="522"/>
      <c r="K152" s="522"/>
      <c r="L152" s="522"/>
      <c r="M152" s="522"/>
      <c r="N152" s="522"/>
      <c r="O152" s="522"/>
      <c r="P152" s="522"/>
      <c r="Q152" s="522"/>
    </row>
    <row r="153" spans="1:17" ht="13.8" x14ac:dyDescent="0.25">
      <c r="A153" s="522"/>
      <c r="B153" s="522"/>
      <c r="C153" s="522"/>
      <c r="D153" s="522"/>
      <c r="E153" s="522"/>
      <c r="F153" s="522"/>
      <c r="G153" s="522"/>
      <c r="H153" s="522"/>
      <c r="I153" s="522"/>
      <c r="J153" s="522"/>
      <c r="K153" s="522"/>
      <c r="L153" s="522"/>
      <c r="M153" s="522"/>
      <c r="N153" s="522"/>
      <c r="O153" s="522"/>
      <c r="P153" s="522"/>
      <c r="Q153" s="522"/>
    </row>
    <row r="154" spans="1:17" ht="13.8" x14ac:dyDescent="0.25">
      <c r="A154" s="522"/>
      <c r="B154" s="522"/>
      <c r="C154" s="522"/>
      <c r="D154" s="522"/>
      <c r="E154" s="522"/>
      <c r="F154" s="522"/>
      <c r="G154" s="522"/>
      <c r="H154" s="522"/>
      <c r="I154" s="522"/>
      <c r="J154" s="522"/>
      <c r="K154" s="522"/>
      <c r="L154" s="522"/>
      <c r="M154" s="522"/>
      <c r="N154" s="522"/>
      <c r="O154" s="522"/>
      <c r="P154" s="522"/>
      <c r="Q154" s="522"/>
    </row>
    <row r="155" spans="1:17" ht="13.8" x14ac:dyDescent="0.25">
      <c r="A155" s="522"/>
      <c r="B155" s="522"/>
      <c r="C155" s="522"/>
      <c r="D155" s="522"/>
      <c r="E155" s="522"/>
      <c r="F155" s="522"/>
      <c r="G155" s="522"/>
      <c r="H155" s="522"/>
      <c r="I155" s="522"/>
      <c r="J155" s="522"/>
      <c r="K155" s="522"/>
      <c r="L155" s="522"/>
      <c r="M155" s="522"/>
      <c r="N155" s="522"/>
      <c r="O155" s="522"/>
      <c r="P155" s="522"/>
      <c r="Q155" s="522"/>
    </row>
    <row r="156" spans="1:17" ht="13.8" x14ac:dyDescent="0.25">
      <c r="A156" s="522"/>
      <c r="B156" s="522"/>
      <c r="C156" s="522"/>
      <c r="D156" s="522"/>
      <c r="E156" s="522"/>
      <c r="F156" s="522"/>
      <c r="G156" s="522"/>
      <c r="H156" s="522"/>
      <c r="I156" s="522"/>
      <c r="J156" s="522"/>
      <c r="K156" s="522"/>
      <c r="L156" s="522"/>
      <c r="M156" s="522"/>
      <c r="N156" s="522"/>
      <c r="O156" s="522"/>
      <c r="P156" s="522"/>
      <c r="Q156" s="522"/>
    </row>
    <row r="157" spans="1:17" ht="13.8" x14ac:dyDescent="0.25">
      <c r="A157" s="522"/>
      <c r="B157" s="522"/>
      <c r="C157" s="522"/>
      <c r="D157" s="522"/>
      <c r="E157" s="522"/>
      <c r="F157" s="522"/>
      <c r="G157" s="522"/>
      <c r="H157" s="522"/>
      <c r="I157" s="522"/>
      <c r="J157" s="522"/>
      <c r="K157" s="522"/>
      <c r="L157" s="522"/>
      <c r="M157" s="522"/>
      <c r="N157" s="522"/>
      <c r="O157" s="522"/>
      <c r="P157" s="522"/>
      <c r="Q157" s="522"/>
    </row>
    <row r="158" spans="1:17" ht="13.8" x14ac:dyDescent="0.25">
      <c r="A158" s="522"/>
      <c r="B158" s="522"/>
      <c r="C158" s="522"/>
      <c r="D158" s="522"/>
      <c r="E158" s="522"/>
      <c r="F158" s="522"/>
      <c r="G158" s="522"/>
      <c r="H158" s="522"/>
      <c r="I158" s="522"/>
      <c r="J158" s="522"/>
      <c r="K158" s="522"/>
      <c r="L158" s="522"/>
      <c r="M158" s="522"/>
      <c r="N158" s="522"/>
      <c r="O158" s="522"/>
      <c r="P158" s="522"/>
      <c r="Q158" s="522"/>
    </row>
    <row r="159" spans="1:17" ht="13.8" x14ac:dyDescent="0.25">
      <c r="A159" s="522"/>
      <c r="B159" s="522"/>
      <c r="C159" s="522"/>
      <c r="D159" s="522"/>
      <c r="E159" s="522"/>
      <c r="F159" s="522"/>
      <c r="G159" s="522"/>
      <c r="H159" s="522"/>
      <c r="I159" s="522"/>
      <c r="J159" s="522"/>
      <c r="K159" s="522"/>
      <c r="L159" s="522"/>
      <c r="M159" s="522"/>
      <c r="N159" s="522"/>
      <c r="O159" s="522"/>
      <c r="P159" s="522"/>
      <c r="Q159" s="522"/>
    </row>
    <row r="160" spans="1:17" ht="13.8" x14ac:dyDescent="0.25">
      <c r="A160" s="522"/>
      <c r="B160" s="522"/>
      <c r="C160" s="522"/>
      <c r="D160" s="522"/>
      <c r="E160" s="522"/>
      <c r="F160" s="522"/>
      <c r="G160" s="522"/>
      <c r="H160" s="522"/>
      <c r="I160" s="522"/>
      <c r="J160" s="522"/>
      <c r="K160" s="522"/>
      <c r="L160" s="522"/>
      <c r="M160" s="522"/>
      <c r="N160" s="522"/>
      <c r="O160" s="522"/>
      <c r="P160" s="522"/>
      <c r="Q160" s="522"/>
    </row>
    <row r="161" spans="1:17" ht="13.8" x14ac:dyDescent="0.25">
      <c r="A161" s="522"/>
      <c r="B161" s="522"/>
      <c r="C161" s="522"/>
      <c r="D161" s="522"/>
      <c r="E161" s="522"/>
      <c r="F161" s="522"/>
      <c r="G161" s="522"/>
      <c r="H161" s="522"/>
      <c r="I161" s="522"/>
      <c r="J161" s="522"/>
      <c r="K161" s="522"/>
      <c r="L161" s="522"/>
      <c r="M161" s="522"/>
      <c r="N161" s="522"/>
      <c r="O161" s="522"/>
      <c r="P161" s="522"/>
      <c r="Q161" s="522"/>
    </row>
    <row r="162" spans="1:17" ht="26.4" customHeight="1" x14ac:dyDescent="0.25">
      <c r="A162" s="522"/>
      <c r="B162" s="522"/>
      <c r="C162" s="522"/>
      <c r="D162" s="522"/>
      <c r="E162" s="522"/>
      <c r="F162" s="522"/>
      <c r="G162" s="522"/>
      <c r="H162" s="522"/>
      <c r="I162" s="522"/>
      <c r="J162" s="522"/>
      <c r="K162" s="522"/>
      <c r="L162" s="522"/>
      <c r="M162" s="522"/>
      <c r="N162" s="522"/>
      <c r="O162" s="522"/>
      <c r="P162" s="522"/>
      <c r="Q162" s="522"/>
    </row>
    <row r="163" spans="1:17" ht="13.8" x14ac:dyDescent="0.25">
      <c r="A163" s="522"/>
      <c r="B163" s="522"/>
      <c r="C163" s="522"/>
      <c r="D163" s="522"/>
      <c r="E163" s="522"/>
      <c r="F163" s="522"/>
      <c r="G163" s="522"/>
      <c r="H163" s="522"/>
      <c r="I163" s="522"/>
      <c r="J163" s="522"/>
      <c r="K163" s="522"/>
      <c r="L163" s="522"/>
      <c r="M163" s="522"/>
      <c r="N163" s="522"/>
      <c r="O163" s="522"/>
      <c r="P163" s="522"/>
      <c r="Q163" s="522"/>
    </row>
    <row r="164" spans="1:17" ht="13.8" x14ac:dyDescent="0.25">
      <c r="A164" s="522"/>
      <c r="B164" s="522"/>
      <c r="C164" s="522"/>
      <c r="D164" s="522"/>
      <c r="E164" s="522"/>
      <c r="F164" s="522"/>
      <c r="G164" s="522"/>
      <c r="H164" s="522"/>
      <c r="I164" s="522"/>
      <c r="J164" s="522"/>
      <c r="K164" s="522"/>
      <c r="L164" s="522"/>
      <c r="M164" s="522"/>
      <c r="N164" s="522"/>
      <c r="O164" s="522"/>
      <c r="P164" s="522"/>
      <c r="Q164" s="522"/>
    </row>
    <row r="165" spans="1:17" ht="13.8" x14ac:dyDescent="0.25">
      <c r="A165" s="522"/>
      <c r="B165" s="522"/>
      <c r="C165" s="522"/>
      <c r="D165" s="522"/>
      <c r="E165" s="522"/>
      <c r="F165" s="522"/>
      <c r="G165" s="522"/>
      <c r="H165" s="522"/>
      <c r="I165" s="522"/>
      <c r="J165" s="522"/>
      <c r="K165" s="522"/>
      <c r="L165" s="522"/>
      <c r="M165" s="522"/>
      <c r="N165" s="522"/>
      <c r="O165" s="522"/>
      <c r="P165" s="522"/>
      <c r="Q165" s="522"/>
    </row>
    <row r="166" spans="1:17" ht="13.8" x14ac:dyDescent="0.25">
      <c r="A166" s="522"/>
      <c r="B166" s="522"/>
      <c r="C166" s="522"/>
      <c r="D166" s="522"/>
      <c r="E166" s="522"/>
      <c r="F166" s="522"/>
      <c r="G166" s="522"/>
      <c r="H166" s="522"/>
      <c r="I166" s="522"/>
      <c r="J166" s="522"/>
      <c r="K166" s="522"/>
      <c r="L166" s="522"/>
      <c r="M166" s="522"/>
      <c r="N166" s="522"/>
      <c r="O166" s="522"/>
      <c r="P166" s="522"/>
      <c r="Q166" s="522"/>
    </row>
    <row r="167" spans="1:17" ht="13.8" x14ac:dyDescent="0.25">
      <c r="A167" s="522"/>
      <c r="B167" s="522"/>
      <c r="C167" s="522"/>
      <c r="D167" s="522"/>
      <c r="E167" s="522"/>
      <c r="F167" s="522"/>
      <c r="G167" s="522"/>
      <c r="H167" s="522"/>
      <c r="I167" s="522"/>
      <c r="J167" s="522"/>
      <c r="K167" s="522"/>
      <c r="L167" s="522"/>
      <c r="M167" s="522"/>
      <c r="N167" s="522"/>
      <c r="O167" s="522"/>
      <c r="P167" s="522"/>
      <c r="Q167" s="522"/>
    </row>
    <row r="168" spans="1:17" ht="13.8" x14ac:dyDescent="0.25">
      <c r="A168" s="522"/>
      <c r="B168" s="522"/>
      <c r="C168" s="522"/>
      <c r="D168" s="522"/>
      <c r="E168" s="522"/>
      <c r="F168" s="522"/>
      <c r="G168" s="522"/>
      <c r="H168" s="522"/>
      <c r="I168" s="522"/>
      <c r="J168" s="522"/>
      <c r="K168" s="522"/>
      <c r="L168" s="522"/>
      <c r="M168" s="522"/>
      <c r="N168" s="522"/>
      <c r="O168" s="522"/>
      <c r="P168" s="522"/>
      <c r="Q168" s="522"/>
    </row>
    <row r="169" spans="1:17" ht="13.8" x14ac:dyDescent="0.25">
      <c r="A169" s="522"/>
      <c r="B169" s="522"/>
      <c r="C169" s="522"/>
      <c r="D169" s="522"/>
      <c r="E169" s="522"/>
      <c r="F169" s="522"/>
      <c r="G169" s="522"/>
      <c r="H169" s="522"/>
      <c r="I169" s="522"/>
      <c r="J169" s="522"/>
      <c r="K169" s="522"/>
      <c r="L169" s="522"/>
      <c r="M169" s="522"/>
      <c r="N169" s="522"/>
      <c r="O169" s="522"/>
      <c r="P169" s="522"/>
      <c r="Q169" s="522"/>
    </row>
    <row r="170" spans="1:17" ht="13.8" x14ac:dyDescent="0.25">
      <c r="A170" s="522"/>
      <c r="B170" s="522"/>
      <c r="C170" s="522"/>
      <c r="D170" s="522"/>
      <c r="E170" s="522"/>
      <c r="F170" s="522"/>
      <c r="G170" s="522"/>
      <c r="H170" s="522"/>
      <c r="I170" s="522"/>
      <c r="J170" s="522"/>
      <c r="K170" s="522"/>
      <c r="L170" s="522"/>
      <c r="M170" s="522"/>
      <c r="N170" s="522"/>
      <c r="O170" s="522"/>
      <c r="P170" s="522"/>
      <c r="Q170" s="522"/>
    </row>
    <row r="171" spans="1:17" ht="13.8" x14ac:dyDescent="0.25">
      <c r="A171" s="522"/>
      <c r="B171" s="522"/>
      <c r="C171" s="522"/>
      <c r="D171" s="522"/>
      <c r="E171" s="522"/>
      <c r="F171" s="522"/>
      <c r="G171" s="522"/>
      <c r="H171" s="522"/>
      <c r="I171" s="522"/>
      <c r="J171" s="522"/>
      <c r="K171" s="522"/>
      <c r="L171" s="522"/>
      <c r="M171" s="522"/>
      <c r="N171" s="522"/>
      <c r="O171" s="522"/>
      <c r="P171" s="522"/>
      <c r="Q171" s="522"/>
    </row>
    <row r="172" spans="1:17" ht="13.8" x14ac:dyDescent="0.25">
      <c r="A172" s="522"/>
      <c r="B172" s="522"/>
      <c r="C172" s="522"/>
      <c r="D172" s="522"/>
      <c r="E172" s="522"/>
      <c r="F172" s="522"/>
      <c r="G172" s="522"/>
      <c r="H172" s="522"/>
      <c r="I172" s="522"/>
      <c r="J172" s="522"/>
      <c r="K172" s="522"/>
      <c r="L172" s="522"/>
      <c r="M172" s="522"/>
      <c r="N172" s="522"/>
      <c r="O172" s="522"/>
      <c r="P172" s="522"/>
      <c r="Q172" s="522"/>
    </row>
    <row r="173" spans="1:17" ht="13.8" x14ac:dyDescent="0.25">
      <c r="A173" s="522"/>
      <c r="B173" s="522"/>
      <c r="C173" s="522"/>
      <c r="D173" s="522"/>
      <c r="E173" s="522"/>
      <c r="F173" s="522"/>
      <c r="G173" s="522"/>
      <c r="H173" s="522"/>
      <c r="I173" s="522"/>
      <c r="J173" s="522"/>
      <c r="K173" s="522"/>
      <c r="L173" s="522"/>
      <c r="M173" s="522"/>
      <c r="N173" s="522"/>
      <c r="O173" s="522"/>
      <c r="P173" s="522"/>
      <c r="Q173" s="522"/>
    </row>
    <row r="174" spans="1:17" ht="13.8" x14ac:dyDescent="0.25">
      <c r="A174" s="522"/>
      <c r="B174" s="522"/>
      <c r="C174" s="522"/>
      <c r="D174" s="522"/>
      <c r="E174" s="522"/>
      <c r="F174" s="522"/>
      <c r="G174" s="522"/>
      <c r="H174" s="522"/>
      <c r="I174" s="522"/>
      <c r="J174" s="522"/>
      <c r="K174" s="522"/>
      <c r="L174" s="522"/>
      <c r="M174" s="522"/>
      <c r="N174" s="522"/>
      <c r="O174" s="522"/>
      <c r="P174" s="522"/>
      <c r="Q174" s="522"/>
    </row>
    <row r="175" spans="1:17" ht="13.8" x14ac:dyDescent="0.25">
      <c r="A175" s="522"/>
      <c r="B175" s="522"/>
      <c r="C175" s="522"/>
      <c r="D175" s="522"/>
      <c r="E175" s="522"/>
      <c r="F175" s="522"/>
      <c r="G175" s="522"/>
      <c r="H175" s="522"/>
      <c r="I175" s="522"/>
      <c r="J175" s="522"/>
      <c r="K175" s="522"/>
      <c r="L175" s="522"/>
      <c r="M175" s="522"/>
      <c r="N175" s="522"/>
      <c r="O175" s="522"/>
      <c r="P175" s="522"/>
      <c r="Q175" s="522"/>
    </row>
    <row r="176" spans="1:17" ht="13.8" x14ac:dyDescent="0.25">
      <c r="A176" s="522"/>
      <c r="B176" s="522"/>
      <c r="C176" s="522"/>
      <c r="D176" s="522"/>
      <c r="E176" s="522"/>
      <c r="F176" s="522"/>
      <c r="G176" s="522"/>
      <c r="H176" s="522"/>
      <c r="I176" s="522"/>
      <c r="J176" s="522"/>
      <c r="K176" s="522"/>
      <c r="L176" s="522"/>
      <c r="M176" s="522"/>
      <c r="N176" s="522"/>
      <c r="O176" s="522"/>
      <c r="P176" s="522"/>
      <c r="Q176" s="522"/>
    </row>
    <row r="177" spans="1:17" ht="13.8" x14ac:dyDescent="0.25">
      <c r="A177" s="522"/>
      <c r="B177" s="522"/>
      <c r="C177" s="522"/>
      <c r="D177" s="522"/>
      <c r="E177" s="522"/>
      <c r="F177" s="522"/>
      <c r="G177" s="522"/>
      <c r="H177" s="522"/>
      <c r="I177" s="522"/>
      <c r="J177" s="522"/>
      <c r="K177" s="522"/>
      <c r="L177" s="522"/>
      <c r="M177" s="522"/>
      <c r="N177" s="522"/>
      <c r="O177" s="522"/>
      <c r="P177" s="522"/>
      <c r="Q177" s="522"/>
    </row>
    <row r="178" spans="1:17" ht="13.8" x14ac:dyDescent="0.25">
      <c r="A178" s="522"/>
      <c r="B178" s="522"/>
      <c r="C178" s="522"/>
      <c r="D178" s="522"/>
      <c r="E178" s="522"/>
      <c r="F178" s="522"/>
      <c r="G178" s="522"/>
      <c r="H178" s="522"/>
      <c r="I178" s="522"/>
      <c r="J178" s="522"/>
      <c r="K178" s="522"/>
      <c r="L178" s="522"/>
      <c r="M178" s="522"/>
      <c r="N178" s="522"/>
      <c r="O178" s="522"/>
      <c r="P178" s="522"/>
      <c r="Q178" s="522"/>
    </row>
    <row r="179" spans="1:17" ht="13.8" x14ac:dyDescent="0.25">
      <c r="A179" s="522"/>
      <c r="B179" s="522"/>
      <c r="C179" s="522"/>
      <c r="D179" s="522"/>
      <c r="E179" s="522"/>
      <c r="F179" s="522"/>
      <c r="G179" s="522"/>
      <c r="H179" s="522"/>
      <c r="I179" s="522"/>
      <c r="J179" s="522"/>
      <c r="K179" s="522"/>
      <c r="L179" s="522"/>
      <c r="M179" s="522"/>
      <c r="N179" s="522"/>
      <c r="O179" s="522"/>
      <c r="P179" s="522"/>
      <c r="Q179" s="522"/>
    </row>
    <row r="180" spans="1:17" ht="13.8" x14ac:dyDescent="0.25">
      <c r="A180" s="522"/>
      <c r="B180" s="522"/>
      <c r="C180" s="522"/>
      <c r="D180" s="522"/>
      <c r="E180" s="522"/>
      <c r="F180" s="522"/>
      <c r="G180" s="522"/>
      <c r="H180" s="522"/>
      <c r="I180" s="522"/>
      <c r="J180" s="522"/>
      <c r="K180" s="522"/>
      <c r="L180" s="522"/>
      <c r="M180" s="522"/>
      <c r="N180" s="522"/>
      <c r="O180" s="522"/>
      <c r="P180" s="522"/>
      <c r="Q180" s="522"/>
    </row>
    <row r="181" spans="1:17" ht="13.8" x14ac:dyDescent="0.25">
      <c r="A181" s="522"/>
      <c r="B181" s="522"/>
      <c r="C181" s="522"/>
      <c r="D181" s="522"/>
      <c r="E181" s="522"/>
      <c r="F181" s="522"/>
      <c r="G181" s="522"/>
      <c r="H181" s="522"/>
      <c r="I181" s="522"/>
      <c r="J181" s="522"/>
      <c r="K181" s="522"/>
      <c r="L181" s="522"/>
      <c r="M181" s="522"/>
      <c r="N181" s="522"/>
      <c r="O181" s="522"/>
      <c r="P181" s="522"/>
      <c r="Q181" s="522"/>
    </row>
    <row r="182" spans="1:17" ht="13.8" x14ac:dyDescent="0.25">
      <c r="A182" s="522"/>
      <c r="B182" s="522"/>
      <c r="C182" s="522"/>
      <c r="D182" s="522"/>
      <c r="E182" s="522"/>
      <c r="F182" s="522"/>
      <c r="G182" s="522"/>
      <c r="H182" s="522"/>
      <c r="I182" s="522"/>
      <c r="J182" s="522"/>
      <c r="K182" s="522"/>
      <c r="L182" s="522"/>
      <c r="M182" s="522"/>
      <c r="N182" s="522"/>
      <c r="O182" s="522"/>
      <c r="P182" s="522"/>
      <c r="Q182" s="522"/>
    </row>
    <row r="183" spans="1:17" ht="13.8" x14ac:dyDescent="0.25">
      <c r="A183" s="522"/>
      <c r="B183" s="522"/>
      <c r="C183" s="522"/>
      <c r="D183" s="522"/>
      <c r="E183" s="522"/>
      <c r="F183" s="522"/>
      <c r="G183" s="522"/>
      <c r="H183" s="522"/>
      <c r="I183" s="522"/>
      <c r="J183" s="522"/>
      <c r="K183" s="522"/>
      <c r="L183" s="522"/>
      <c r="M183" s="522"/>
      <c r="N183" s="522"/>
      <c r="O183" s="522"/>
      <c r="P183" s="522"/>
      <c r="Q183" s="522"/>
    </row>
    <row r="184" spans="1:17" ht="13.8" x14ac:dyDescent="0.25">
      <c r="A184" s="522"/>
      <c r="B184" s="522"/>
      <c r="C184" s="522"/>
      <c r="D184" s="522"/>
      <c r="E184" s="522"/>
      <c r="F184" s="522"/>
      <c r="G184" s="522"/>
      <c r="H184" s="522"/>
      <c r="I184" s="522"/>
      <c r="J184" s="522"/>
      <c r="K184" s="522"/>
      <c r="L184" s="522"/>
      <c r="M184" s="522"/>
      <c r="N184" s="522"/>
      <c r="O184" s="522"/>
      <c r="P184" s="522"/>
      <c r="Q184" s="522"/>
    </row>
    <row r="185" spans="1:17" ht="13.8" x14ac:dyDescent="0.25">
      <c r="A185" s="522"/>
      <c r="B185" s="522"/>
      <c r="C185" s="522"/>
      <c r="D185" s="522"/>
      <c r="E185" s="522"/>
      <c r="F185" s="522"/>
      <c r="G185" s="522"/>
      <c r="H185" s="522"/>
      <c r="I185" s="522"/>
      <c r="J185" s="522"/>
      <c r="K185" s="522"/>
      <c r="L185" s="522"/>
      <c r="M185" s="522"/>
      <c r="N185" s="522"/>
      <c r="O185" s="522"/>
      <c r="P185" s="522"/>
      <c r="Q185" s="522"/>
    </row>
    <row r="186" spans="1:17" ht="13.8" x14ac:dyDescent="0.25">
      <c r="A186" s="522"/>
      <c r="B186" s="522"/>
      <c r="C186" s="522"/>
      <c r="D186" s="522"/>
      <c r="E186" s="522"/>
      <c r="F186" s="522"/>
      <c r="G186" s="522"/>
      <c r="H186" s="522"/>
      <c r="I186" s="522"/>
      <c r="J186" s="522"/>
      <c r="K186" s="522"/>
      <c r="L186" s="522"/>
      <c r="M186" s="522"/>
      <c r="N186" s="522"/>
      <c r="O186" s="522"/>
      <c r="P186" s="522"/>
      <c r="Q186" s="522"/>
    </row>
    <row r="187" spans="1:17" ht="13.8" x14ac:dyDescent="0.25">
      <c r="A187" s="522"/>
      <c r="B187" s="522"/>
      <c r="C187" s="522"/>
      <c r="D187" s="522"/>
      <c r="E187" s="522"/>
      <c r="F187" s="522"/>
      <c r="G187" s="522"/>
      <c r="H187" s="522"/>
      <c r="I187" s="522"/>
      <c r="J187" s="522"/>
      <c r="K187" s="522"/>
      <c r="L187" s="522"/>
      <c r="M187" s="522"/>
      <c r="N187" s="522"/>
      <c r="O187" s="522"/>
      <c r="P187" s="522"/>
      <c r="Q187" s="522"/>
    </row>
    <row r="188" spans="1:17" ht="13.8" x14ac:dyDescent="0.25">
      <c r="A188" s="522"/>
      <c r="B188" s="522"/>
      <c r="C188" s="522"/>
      <c r="D188" s="522"/>
      <c r="E188" s="522"/>
      <c r="F188" s="522"/>
      <c r="G188" s="522"/>
      <c r="H188" s="522"/>
      <c r="I188" s="522"/>
      <c r="J188" s="522"/>
      <c r="K188" s="522"/>
      <c r="L188" s="522"/>
      <c r="M188" s="522"/>
      <c r="N188" s="522"/>
      <c r="O188" s="522"/>
      <c r="P188" s="522"/>
      <c r="Q188" s="522"/>
    </row>
    <row r="189" spans="1:17" ht="13.8" x14ac:dyDescent="0.25">
      <c r="A189" s="522"/>
      <c r="B189" s="522"/>
      <c r="C189" s="522"/>
      <c r="D189" s="522"/>
      <c r="E189" s="522"/>
      <c r="F189" s="522"/>
      <c r="G189" s="522"/>
      <c r="H189" s="522"/>
      <c r="I189" s="522"/>
      <c r="J189" s="522"/>
      <c r="K189" s="522"/>
      <c r="L189" s="522"/>
      <c r="M189" s="522"/>
      <c r="N189" s="522"/>
      <c r="O189" s="522"/>
      <c r="P189" s="522"/>
      <c r="Q189" s="522"/>
    </row>
    <row r="190" spans="1:17" ht="13.8" x14ac:dyDescent="0.25">
      <c r="A190" s="522"/>
      <c r="B190" s="522"/>
      <c r="C190" s="522"/>
      <c r="D190" s="522"/>
      <c r="E190" s="522"/>
      <c r="F190" s="522"/>
      <c r="G190" s="522"/>
      <c r="H190" s="522"/>
      <c r="I190" s="522"/>
      <c r="J190" s="522"/>
      <c r="K190" s="522"/>
      <c r="L190" s="522"/>
      <c r="M190" s="522"/>
      <c r="N190" s="522"/>
      <c r="O190" s="522"/>
      <c r="P190" s="522"/>
      <c r="Q190" s="522"/>
    </row>
    <row r="191" spans="1:17" ht="13.8" x14ac:dyDescent="0.25">
      <c r="A191" s="522"/>
      <c r="B191" s="522"/>
      <c r="C191" s="522"/>
      <c r="D191" s="522"/>
      <c r="E191" s="522"/>
      <c r="F191" s="522"/>
      <c r="G191" s="522"/>
      <c r="H191" s="522"/>
      <c r="I191" s="522"/>
      <c r="J191" s="522"/>
      <c r="K191" s="522"/>
      <c r="L191" s="522"/>
      <c r="M191" s="522"/>
      <c r="N191" s="522"/>
      <c r="O191" s="522"/>
      <c r="P191" s="522"/>
      <c r="Q191" s="522"/>
    </row>
    <row r="192" spans="1:17" ht="13.8" x14ac:dyDescent="0.25">
      <c r="A192" s="522"/>
      <c r="B192" s="522"/>
      <c r="C192" s="522"/>
      <c r="D192" s="522"/>
      <c r="E192" s="522"/>
      <c r="F192" s="522"/>
      <c r="G192" s="522"/>
      <c r="H192" s="522"/>
      <c r="I192" s="522"/>
      <c r="J192" s="522"/>
      <c r="K192" s="522"/>
      <c r="L192" s="522"/>
      <c r="M192" s="522"/>
      <c r="N192" s="522"/>
      <c r="O192" s="522"/>
      <c r="P192" s="522"/>
      <c r="Q192" s="522"/>
    </row>
    <row r="193" spans="1:17" ht="13.8" x14ac:dyDescent="0.25">
      <c r="A193" s="522"/>
      <c r="B193" s="522"/>
      <c r="C193" s="522"/>
      <c r="D193" s="522"/>
      <c r="E193" s="522"/>
      <c r="F193" s="522"/>
      <c r="G193" s="522"/>
      <c r="H193" s="522"/>
      <c r="I193" s="522"/>
      <c r="J193" s="522"/>
      <c r="K193" s="522"/>
      <c r="L193" s="522"/>
      <c r="M193" s="522"/>
      <c r="N193" s="522"/>
      <c r="O193" s="522"/>
      <c r="P193" s="522"/>
      <c r="Q193" s="522"/>
    </row>
    <row r="194" spans="1:17" ht="13.8" x14ac:dyDescent="0.25">
      <c r="A194" s="522"/>
      <c r="B194" s="522"/>
      <c r="C194" s="522"/>
      <c r="D194" s="522"/>
      <c r="E194" s="522"/>
      <c r="F194" s="522"/>
      <c r="G194" s="522"/>
      <c r="H194" s="522"/>
      <c r="I194" s="522"/>
      <c r="J194" s="522"/>
      <c r="K194" s="522"/>
      <c r="L194" s="522"/>
      <c r="M194" s="522"/>
      <c r="N194" s="522"/>
      <c r="O194" s="522"/>
      <c r="P194" s="522"/>
      <c r="Q194" s="522"/>
    </row>
    <row r="195" spans="1:17" ht="13.8" x14ac:dyDescent="0.25">
      <c r="A195" s="522"/>
      <c r="B195" s="522"/>
      <c r="C195" s="522"/>
      <c r="D195" s="522"/>
      <c r="E195" s="522"/>
      <c r="F195" s="522"/>
      <c r="G195" s="522"/>
      <c r="H195" s="522"/>
      <c r="I195" s="522"/>
      <c r="J195" s="522"/>
      <c r="K195" s="522"/>
      <c r="L195" s="522"/>
      <c r="M195" s="522"/>
      <c r="N195" s="522"/>
      <c r="O195" s="522"/>
      <c r="P195" s="522"/>
      <c r="Q195" s="522"/>
    </row>
    <row r="196" spans="1:17" ht="13.8" x14ac:dyDescent="0.25">
      <c r="A196" s="522"/>
      <c r="B196" s="522"/>
      <c r="C196" s="522"/>
      <c r="D196" s="522"/>
      <c r="E196" s="522"/>
      <c r="F196" s="522"/>
      <c r="G196" s="522"/>
      <c r="H196" s="522"/>
      <c r="I196" s="522"/>
      <c r="J196" s="522"/>
      <c r="K196" s="522"/>
      <c r="L196" s="522"/>
      <c r="M196" s="522"/>
      <c r="N196" s="522"/>
      <c r="O196" s="522"/>
      <c r="P196" s="522"/>
      <c r="Q196" s="522"/>
    </row>
    <row r="197" spans="1:17" ht="13.8" x14ac:dyDescent="0.25">
      <c r="A197" s="522"/>
      <c r="B197" s="522"/>
      <c r="C197" s="522"/>
      <c r="D197" s="522"/>
      <c r="E197" s="522"/>
      <c r="F197" s="522"/>
      <c r="G197" s="522"/>
      <c r="H197" s="522"/>
      <c r="I197" s="522"/>
      <c r="J197" s="522"/>
      <c r="K197" s="522"/>
      <c r="L197" s="522"/>
      <c r="M197" s="522"/>
      <c r="N197" s="522"/>
      <c r="O197" s="522"/>
      <c r="P197" s="522"/>
      <c r="Q197" s="522"/>
    </row>
    <row r="198" spans="1:17" ht="13.8" x14ac:dyDescent="0.25">
      <c r="A198" s="522"/>
      <c r="B198" s="522"/>
      <c r="C198" s="522"/>
      <c r="D198" s="522"/>
      <c r="E198" s="522"/>
      <c r="F198" s="522"/>
      <c r="G198" s="522"/>
      <c r="H198" s="522"/>
      <c r="I198" s="522"/>
      <c r="J198" s="522"/>
      <c r="K198" s="522"/>
      <c r="L198" s="522"/>
      <c r="M198" s="522"/>
      <c r="N198" s="522"/>
      <c r="O198" s="522"/>
      <c r="P198" s="522"/>
      <c r="Q198" s="522"/>
    </row>
    <row r="199" spans="1:17" ht="13.8" x14ac:dyDescent="0.25">
      <c r="A199" s="522"/>
      <c r="B199" s="522"/>
      <c r="C199" s="522"/>
      <c r="D199" s="522"/>
      <c r="E199" s="522"/>
      <c r="F199" s="522"/>
      <c r="G199" s="522"/>
      <c r="H199" s="522"/>
      <c r="I199" s="522"/>
      <c r="J199" s="522"/>
      <c r="K199" s="522"/>
      <c r="L199" s="522"/>
      <c r="M199" s="522"/>
      <c r="N199" s="522"/>
      <c r="O199" s="522"/>
      <c r="P199" s="522"/>
      <c r="Q199" s="522"/>
    </row>
    <row r="200" spans="1:17" ht="13.8" x14ac:dyDescent="0.25">
      <c r="A200" s="522"/>
      <c r="B200" s="522"/>
      <c r="C200" s="522"/>
      <c r="D200" s="522"/>
      <c r="E200" s="522"/>
      <c r="F200" s="522"/>
      <c r="G200" s="522"/>
      <c r="H200" s="522"/>
      <c r="I200" s="522"/>
      <c r="J200" s="522"/>
      <c r="K200" s="522"/>
      <c r="L200" s="522"/>
      <c r="M200" s="522"/>
      <c r="N200" s="522"/>
      <c r="O200" s="522"/>
      <c r="P200" s="522"/>
      <c r="Q200" s="522"/>
    </row>
    <row r="201" spans="1:17" ht="13.8" x14ac:dyDescent="0.25">
      <c r="A201" s="522"/>
      <c r="B201" s="522"/>
      <c r="C201" s="522"/>
      <c r="D201" s="522"/>
      <c r="E201" s="522"/>
      <c r="F201" s="522"/>
      <c r="G201" s="522"/>
      <c r="H201" s="522"/>
      <c r="I201" s="522"/>
      <c r="J201" s="522"/>
      <c r="K201" s="522"/>
      <c r="L201" s="522"/>
      <c r="M201" s="522"/>
      <c r="N201" s="522"/>
      <c r="O201" s="522"/>
      <c r="P201" s="522"/>
      <c r="Q201" s="522"/>
    </row>
    <row r="202" spans="1:17" ht="13.8" x14ac:dyDescent="0.25">
      <c r="A202" s="522"/>
      <c r="B202" s="522"/>
      <c r="C202" s="522"/>
      <c r="D202" s="522"/>
      <c r="E202" s="522"/>
      <c r="F202" s="522"/>
      <c r="G202" s="522"/>
      <c r="H202" s="522"/>
      <c r="I202" s="522"/>
      <c r="J202" s="522"/>
      <c r="K202" s="522"/>
      <c r="L202" s="522"/>
      <c r="M202" s="522"/>
      <c r="N202" s="522"/>
      <c r="O202" s="522"/>
      <c r="P202" s="522"/>
      <c r="Q202" s="522"/>
    </row>
    <row r="203" spans="1:17" ht="13.8" x14ac:dyDescent="0.25">
      <c r="A203" s="522"/>
      <c r="B203" s="522"/>
      <c r="C203" s="522"/>
      <c r="D203" s="522"/>
      <c r="E203" s="522"/>
      <c r="F203" s="522"/>
      <c r="G203" s="522"/>
      <c r="H203" s="522"/>
      <c r="I203" s="522"/>
      <c r="J203" s="522"/>
      <c r="K203" s="522"/>
      <c r="L203" s="522"/>
      <c r="M203" s="522"/>
      <c r="N203" s="522"/>
      <c r="O203" s="522"/>
      <c r="P203" s="522"/>
      <c r="Q203" s="522"/>
    </row>
    <row r="204" spans="1:17" ht="13.8" x14ac:dyDescent="0.25">
      <c r="A204" s="522"/>
      <c r="B204" s="522"/>
      <c r="C204" s="522"/>
      <c r="D204" s="522"/>
      <c r="E204" s="522"/>
      <c r="F204" s="522"/>
      <c r="G204" s="522"/>
      <c r="H204" s="522"/>
      <c r="I204" s="522"/>
      <c r="J204" s="522"/>
      <c r="K204" s="522"/>
      <c r="L204" s="522"/>
      <c r="M204" s="522"/>
      <c r="N204" s="522"/>
      <c r="O204" s="522"/>
      <c r="P204" s="522"/>
      <c r="Q204" s="522"/>
    </row>
    <row r="205" spans="1:17" ht="13.8" x14ac:dyDescent="0.25">
      <c r="A205" s="522"/>
      <c r="B205" s="522"/>
      <c r="C205" s="522"/>
      <c r="D205" s="522"/>
      <c r="E205" s="522"/>
      <c r="F205" s="522"/>
      <c r="G205" s="522"/>
      <c r="H205" s="522"/>
      <c r="I205" s="522"/>
      <c r="J205" s="522"/>
      <c r="K205" s="522"/>
      <c r="L205" s="522"/>
      <c r="M205" s="522"/>
      <c r="N205" s="522"/>
      <c r="O205" s="522"/>
      <c r="P205" s="522"/>
      <c r="Q205" s="522"/>
    </row>
    <row r="206" spans="1:17" ht="13.8" x14ac:dyDescent="0.25">
      <c r="A206" s="522"/>
      <c r="B206" s="522"/>
      <c r="C206" s="522"/>
      <c r="D206" s="522"/>
      <c r="E206" s="522"/>
      <c r="F206" s="522"/>
      <c r="G206" s="522"/>
      <c r="H206" s="522"/>
      <c r="I206" s="522"/>
      <c r="J206" s="522"/>
      <c r="K206" s="522"/>
      <c r="L206" s="522"/>
      <c r="M206" s="522"/>
      <c r="N206" s="522"/>
      <c r="O206" s="522"/>
      <c r="P206" s="522"/>
      <c r="Q206" s="522"/>
    </row>
    <row r="207" spans="1:17" ht="13.8" x14ac:dyDescent="0.25">
      <c r="A207" s="522"/>
      <c r="B207" s="522"/>
      <c r="C207" s="522"/>
      <c r="D207" s="522"/>
      <c r="E207" s="522"/>
      <c r="F207" s="522"/>
      <c r="G207" s="522"/>
      <c r="H207" s="522"/>
      <c r="I207" s="522"/>
      <c r="J207" s="522"/>
      <c r="K207" s="522"/>
      <c r="L207" s="522"/>
      <c r="M207" s="522"/>
      <c r="N207" s="522"/>
      <c r="O207" s="522"/>
      <c r="P207" s="522"/>
      <c r="Q207" s="522"/>
    </row>
    <row r="208" spans="1:17" ht="13.8" x14ac:dyDescent="0.25">
      <c r="A208" s="522"/>
      <c r="B208" s="522"/>
      <c r="C208" s="522"/>
      <c r="D208" s="522"/>
      <c r="E208" s="522"/>
      <c r="F208" s="522"/>
      <c r="G208" s="522"/>
      <c r="H208" s="522"/>
      <c r="I208" s="522"/>
      <c r="J208" s="522"/>
      <c r="K208" s="522"/>
      <c r="L208" s="522"/>
      <c r="M208" s="522"/>
      <c r="N208" s="522"/>
      <c r="O208" s="522"/>
      <c r="P208" s="522"/>
      <c r="Q208" s="522"/>
    </row>
    <row r="209" spans="1:17" ht="13.8" x14ac:dyDescent="0.25">
      <c r="A209" s="522"/>
      <c r="B209" s="522"/>
      <c r="C209" s="522"/>
      <c r="D209" s="522"/>
      <c r="E209" s="522"/>
      <c r="F209" s="522"/>
      <c r="G209" s="522"/>
      <c r="H209" s="522"/>
      <c r="I209" s="522"/>
      <c r="J209" s="522"/>
      <c r="K209" s="522"/>
      <c r="L209" s="522"/>
      <c r="M209" s="522"/>
      <c r="N209" s="522"/>
      <c r="O209" s="522"/>
      <c r="P209" s="522"/>
      <c r="Q209" s="522"/>
    </row>
    <row r="210" spans="1:17" ht="13.8" x14ac:dyDescent="0.25">
      <c r="A210" s="522"/>
      <c r="B210" s="522"/>
      <c r="C210" s="522"/>
      <c r="D210" s="522"/>
      <c r="E210" s="522"/>
      <c r="F210" s="522"/>
      <c r="G210" s="522"/>
      <c r="H210" s="522"/>
      <c r="I210" s="522"/>
      <c r="J210" s="522"/>
      <c r="K210" s="522"/>
      <c r="L210" s="522"/>
      <c r="M210" s="522"/>
      <c r="N210" s="522"/>
      <c r="O210" s="522"/>
      <c r="P210" s="522"/>
      <c r="Q210" s="522"/>
    </row>
    <row r="211" spans="1:17" ht="13.8" x14ac:dyDescent="0.25">
      <c r="A211" s="522"/>
      <c r="B211" s="522"/>
      <c r="C211" s="522"/>
      <c r="D211" s="522"/>
      <c r="E211" s="522"/>
      <c r="F211" s="522"/>
      <c r="G211" s="522"/>
      <c r="H211" s="522"/>
      <c r="I211" s="522"/>
      <c r="J211" s="522"/>
      <c r="K211" s="522"/>
      <c r="L211" s="522"/>
      <c r="M211" s="522"/>
      <c r="N211" s="522"/>
      <c r="O211" s="522"/>
      <c r="P211" s="522"/>
      <c r="Q211" s="522"/>
    </row>
    <row r="212" spans="1:17" ht="13.8" x14ac:dyDescent="0.25">
      <c r="A212" s="522"/>
      <c r="B212" s="522"/>
      <c r="C212" s="522"/>
      <c r="D212" s="522"/>
      <c r="E212" s="522"/>
      <c r="F212" s="522"/>
      <c r="G212" s="522"/>
      <c r="H212" s="522"/>
      <c r="I212" s="522"/>
      <c r="J212" s="522"/>
      <c r="K212" s="522"/>
      <c r="L212" s="522"/>
      <c r="M212" s="522"/>
      <c r="N212" s="522"/>
      <c r="O212" s="522"/>
      <c r="P212" s="522"/>
      <c r="Q212" s="522"/>
    </row>
    <row r="213" spans="1:17" ht="13.8" x14ac:dyDescent="0.25">
      <c r="A213" s="522"/>
      <c r="B213" s="522"/>
      <c r="C213" s="522"/>
      <c r="D213" s="522"/>
      <c r="E213" s="522"/>
      <c r="F213" s="522"/>
      <c r="G213" s="522"/>
      <c r="H213" s="522"/>
      <c r="I213" s="522"/>
      <c r="J213" s="522"/>
      <c r="K213" s="522"/>
      <c r="L213" s="522"/>
      <c r="M213" s="522"/>
      <c r="N213" s="522"/>
      <c r="O213" s="522"/>
      <c r="P213" s="522"/>
      <c r="Q213" s="522"/>
    </row>
    <row r="214" spans="1:17" ht="13.8" x14ac:dyDescent="0.25">
      <c r="A214" s="522"/>
      <c r="B214" s="522"/>
      <c r="C214" s="522"/>
      <c r="D214" s="522"/>
      <c r="E214" s="522"/>
      <c r="F214" s="522"/>
      <c r="G214" s="522"/>
      <c r="H214" s="522"/>
      <c r="I214" s="522"/>
      <c r="J214" s="522"/>
      <c r="K214" s="522"/>
      <c r="L214" s="522"/>
      <c r="M214" s="522"/>
      <c r="N214" s="522"/>
      <c r="O214" s="522"/>
      <c r="P214" s="522"/>
      <c r="Q214" s="522"/>
    </row>
    <row r="215" spans="1:17" ht="13.8" x14ac:dyDescent="0.25">
      <c r="A215" s="522"/>
      <c r="B215" s="522"/>
      <c r="C215" s="522"/>
      <c r="D215" s="522"/>
      <c r="E215" s="522"/>
      <c r="F215" s="522"/>
      <c r="G215" s="522"/>
      <c r="H215" s="522"/>
      <c r="I215" s="522"/>
      <c r="J215" s="522"/>
      <c r="K215" s="522"/>
      <c r="L215" s="522"/>
      <c r="M215" s="522"/>
      <c r="N215" s="522"/>
      <c r="O215" s="522"/>
      <c r="P215" s="522"/>
      <c r="Q215" s="522"/>
    </row>
    <row r="216" spans="1:17" ht="13.8" x14ac:dyDescent="0.25">
      <c r="A216" s="522"/>
      <c r="B216" s="522"/>
      <c r="C216" s="522"/>
      <c r="D216" s="522"/>
      <c r="E216" s="522"/>
      <c r="F216" s="522"/>
      <c r="G216" s="522"/>
      <c r="H216" s="522"/>
      <c r="I216" s="522"/>
      <c r="J216" s="522"/>
      <c r="K216" s="522"/>
      <c r="L216" s="522"/>
      <c r="M216" s="522"/>
      <c r="N216" s="522"/>
      <c r="O216" s="522"/>
      <c r="P216" s="522"/>
      <c r="Q216" s="522"/>
    </row>
    <row r="217" spans="1:17" ht="13.8" x14ac:dyDescent="0.25">
      <c r="A217" s="522"/>
      <c r="B217" s="522"/>
      <c r="C217" s="522"/>
      <c r="D217" s="522"/>
      <c r="E217" s="522"/>
      <c r="F217" s="522"/>
      <c r="G217" s="522"/>
      <c r="H217" s="522"/>
      <c r="I217" s="522"/>
      <c r="J217" s="522"/>
      <c r="K217" s="522"/>
      <c r="L217" s="522"/>
      <c r="M217" s="522"/>
      <c r="N217" s="522"/>
      <c r="O217" s="522"/>
      <c r="P217" s="522"/>
      <c r="Q217" s="522"/>
    </row>
    <row r="218" spans="1:17" ht="13.8" x14ac:dyDescent="0.25">
      <c r="A218" s="522"/>
      <c r="B218" s="522"/>
      <c r="C218" s="522"/>
      <c r="D218" s="522"/>
      <c r="E218" s="522"/>
      <c r="F218" s="522"/>
      <c r="G218" s="522"/>
      <c r="H218" s="522"/>
      <c r="I218" s="522"/>
      <c r="J218" s="522"/>
      <c r="K218" s="522"/>
      <c r="L218" s="522"/>
      <c r="M218" s="522"/>
      <c r="N218" s="522"/>
      <c r="O218" s="522"/>
      <c r="P218" s="522"/>
      <c r="Q218" s="522"/>
    </row>
    <row r="219" spans="1:17" ht="13.8" x14ac:dyDescent="0.25">
      <c r="A219" s="522"/>
      <c r="B219" s="522"/>
      <c r="C219" s="522"/>
      <c r="D219" s="522"/>
      <c r="E219" s="522"/>
      <c r="F219" s="522"/>
      <c r="G219" s="522"/>
      <c r="H219" s="522"/>
      <c r="I219" s="522"/>
      <c r="J219" s="522"/>
      <c r="K219" s="522"/>
      <c r="L219" s="522"/>
      <c r="M219" s="522"/>
      <c r="N219" s="522"/>
      <c r="O219" s="522"/>
      <c r="P219" s="522"/>
      <c r="Q219" s="522"/>
    </row>
    <row r="220" spans="1:17" ht="13.8" x14ac:dyDescent="0.25">
      <c r="A220" s="522"/>
      <c r="B220" s="522"/>
      <c r="C220" s="522"/>
      <c r="D220" s="522"/>
      <c r="E220" s="522"/>
      <c r="F220" s="522"/>
      <c r="G220" s="522"/>
      <c r="H220" s="522"/>
      <c r="I220" s="522"/>
      <c r="J220" s="522"/>
      <c r="K220" s="522"/>
      <c r="L220" s="522"/>
      <c r="M220" s="522"/>
      <c r="N220" s="522"/>
      <c r="O220" s="522"/>
      <c r="P220" s="522"/>
      <c r="Q220" s="522"/>
    </row>
    <row r="221" spans="1:17" ht="13.8" x14ac:dyDescent="0.25">
      <c r="A221" s="522"/>
      <c r="B221" s="522"/>
      <c r="C221" s="522"/>
      <c r="D221" s="522"/>
      <c r="E221" s="522"/>
      <c r="F221" s="522"/>
      <c r="G221" s="522"/>
      <c r="H221" s="522"/>
      <c r="I221" s="522"/>
      <c r="J221" s="522"/>
      <c r="K221" s="522"/>
      <c r="L221" s="522"/>
      <c r="M221" s="522"/>
      <c r="N221" s="522"/>
      <c r="O221" s="522"/>
      <c r="P221" s="522"/>
      <c r="Q221" s="522"/>
    </row>
    <row r="222" spans="1:17" ht="13.8" x14ac:dyDescent="0.25">
      <c r="A222" s="522"/>
      <c r="B222" s="522"/>
      <c r="C222" s="522"/>
      <c r="D222" s="522"/>
      <c r="E222" s="522"/>
      <c r="F222" s="522"/>
      <c r="G222" s="522"/>
      <c r="H222" s="522"/>
      <c r="I222" s="522"/>
      <c r="J222" s="522"/>
      <c r="K222" s="522"/>
      <c r="L222" s="522"/>
      <c r="M222" s="522"/>
      <c r="N222" s="522"/>
      <c r="O222" s="522"/>
      <c r="P222" s="522"/>
      <c r="Q222" s="522"/>
    </row>
    <row r="223" spans="1:17" ht="13.8" x14ac:dyDescent="0.25">
      <c r="A223" s="522"/>
      <c r="B223" s="522"/>
      <c r="C223" s="522"/>
      <c r="D223" s="522"/>
      <c r="E223" s="522"/>
      <c r="F223" s="522"/>
      <c r="G223" s="522"/>
      <c r="H223" s="522"/>
      <c r="I223" s="522"/>
      <c r="J223" s="522"/>
      <c r="K223" s="522"/>
      <c r="L223" s="522"/>
      <c r="M223" s="522"/>
      <c r="N223" s="522"/>
      <c r="O223" s="522"/>
      <c r="P223" s="522"/>
      <c r="Q223" s="522"/>
    </row>
    <row r="224" spans="1:17" ht="13.8" x14ac:dyDescent="0.25">
      <c r="A224" s="522"/>
      <c r="B224" s="522"/>
      <c r="C224" s="522"/>
      <c r="D224" s="522"/>
      <c r="E224" s="522"/>
      <c r="F224" s="522"/>
      <c r="G224" s="522"/>
      <c r="H224" s="522"/>
      <c r="I224" s="522"/>
      <c r="J224" s="522"/>
      <c r="K224" s="522"/>
      <c r="L224" s="522"/>
      <c r="M224" s="522"/>
      <c r="N224" s="522"/>
      <c r="O224" s="522"/>
      <c r="P224" s="522"/>
      <c r="Q224" s="522"/>
    </row>
    <row r="225" spans="1:17" ht="13.8" x14ac:dyDescent="0.25">
      <c r="A225" s="522"/>
      <c r="B225" s="522"/>
      <c r="C225" s="522"/>
      <c r="D225" s="522"/>
      <c r="E225" s="522"/>
      <c r="F225" s="522"/>
      <c r="G225" s="522"/>
      <c r="H225" s="522"/>
      <c r="I225" s="522"/>
      <c r="J225" s="522"/>
      <c r="K225" s="522"/>
      <c r="L225" s="522"/>
      <c r="M225" s="522"/>
      <c r="N225" s="522"/>
      <c r="O225" s="522"/>
      <c r="P225" s="522"/>
      <c r="Q225" s="522"/>
    </row>
    <row r="226" spans="1:17" ht="13.8" x14ac:dyDescent="0.25">
      <c r="A226" s="522"/>
      <c r="B226" s="522"/>
      <c r="C226" s="522"/>
      <c r="D226" s="522"/>
      <c r="E226" s="522"/>
      <c r="F226" s="522"/>
      <c r="G226" s="522"/>
      <c r="H226" s="522"/>
      <c r="I226" s="522"/>
      <c r="J226" s="522"/>
      <c r="K226" s="522"/>
      <c r="L226" s="522"/>
      <c r="M226" s="522"/>
      <c r="N226" s="522"/>
      <c r="O226" s="522"/>
      <c r="P226" s="522"/>
      <c r="Q226" s="522"/>
    </row>
    <row r="227" spans="1:17" ht="13.8" x14ac:dyDescent="0.25">
      <c r="A227" s="522"/>
      <c r="B227" s="522"/>
      <c r="C227" s="522"/>
      <c r="D227" s="522"/>
      <c r="E227" s="522"/>
      <c r="F227" s="522"/>
      <c r="G227" s="522"/>
      <c r="H227" s="522"/>
      <c r="I227" s="522"/>
      <c r="J227" s="522"/>
      <c r="K227" s="522"/>
      <c r="L227" s="522"/>
      <c r="M227" s="522"/>
      <c r="N227" s="522"/>
      <c r="O227" s="522"/>
      <c r="P227" s="522"/>
      <c r="Q227" s="522"/>
    </row>
    <row r="228" spans="1:17" ht="13.8" x14ac:dyDescent="0.25">
      <c r="A228" s="522"/>
      <c r="B228" s="522"/>
      <c r="C228" s="522"/>
      <c r="D228" s="522"/>
      <c r="E228" s="522"/>
      <c r="F228" s="522"/>
      <c r="G228" s="522"/>
      <c r="H228" s="522"/>
      <c r="I228" s="522"/>
      <c r="J228" s="522"/>
      <c r="K228" s="522"/>
      <c r="L228" s="522"/>
      <c r="M228" s="522"/>
      <c r="N228" s="522"/>
      <c r="O228" s="522"/>
      <c r="P228" s="522"/>
      <c r="Q228" s="522"/>
    </row>
    <row r="229" spans="1:17" ht="13.8" x14ac:dyDescent="0.25">
      <c r="A229" s="522"/>
      <c r="B229" s="522"/>
      <c r="C229" s="522"/>
      <c r="D229" s="522"/>
      <c r="E229" s="522"/>
      <c r="F229" s="522"/>
      <c r="G229" s="522"/>
      <c r="H229" s="522"/>
      <c r="I229" s="522"/>
      <c r="J229" s="522"/>
      <c r="K229" s="522"/>
      <c r="L229" s="522"/>
      <c r="M229" s="522"/>
      <c r="N229" s="522"/>
      <c r="O229" s="522"/>
      <c r="P229" s="522"/>
      <c r="Q229" s="522"/>
    </row>
    <row r="230" spans="1:17" ht="13.8" x14ac:dyDescent="0.25">
      <c r="A230" s="522"/>
      <c r="B230" s="522"/>
      <c r="C230" s="522"/>
      <c r="D230" s="522"/>
      <c r="E230" s="522"/>
      <c r="F230" s="522"/>
      <c r="G230" s="522"/>
      <c r="H230" s="522"/>
      <c r="I230" s="522"/>
      <c r="J230" s="522"/>
      <c r="K230" s="522"/>
      <c r="L230" s="522"/>
      <c r="M230" s="522"/>
      <c r="N230" s="522"/>
      <c r="O230" s="522"/>
      <c r="P230" s="522"/>
      <c r="Q230" s="522"/>
    </row>
    <row r="231" spans="1:17" ht="13.8" x14ac:dyDescent="0.25">
      <c r="A231" s="522"/>
      <c r="B231" s="522"/>
      <c r="C231" s="522"/>
      <c r="D231" s="522"/>
      <c r="E231" s="522"/>
      <c r="F231" s="522"/>
      <c r="G231" s="522"/>
      <c r="H231" s="522"/>
      <c r="I231" s="522"/>
      <c r="J231" s="522"/>
      <c r="K231" s="522"/>
      <c r="L231" s="522"/>
      <c r="M231" s="522"/>
      <c r="N231" s="522"/>
      <c r="O231" s="522"/>
      <c r="P231" s="522"/>
      <c r="Q231" s="522"/>
    </row>
    <row r="232" spans="1:17" ht="13.8" x14ac:dyDescent="0.25">
      <c r="A232" s="522"/>
      <c r="B232" s="522"/>
      <c r="C232" s="522"/>
      <c r="D232" s="522"/>
      <c r="E232" s="522"/>
      <c r="F232" s="522"/>
      <c r="G232" s="522"/>
      <c r="H232" s="522"/>
      <c r="I232" s="522"/>
      <c r="J232" s="522"/>
      <c r="K232" s="522"/>
      <c r="L232" s="522"/>
      <c r="M232" s="522"/>
      <c r="N232" s="522"/>
      <c r="O232" s="522"/>
      <c r="P232" s="522"/>
      <c r="Q232" s="522"/>
    </row>
    <row r="233" spans="1:17" ht="13.8" x14ac:dyDescent="0.25">
      <c r="A233" s="522"/>
      <c r="B233" s="522"/>
      <c r="C233" s="522"/>
      <c r="D233" s="522"/>
      <c r="E233" s="522"/>
      <c r="F233" s="522"/>
      <c r="G233" s="522"/>
      <c r="H233" s="522"/>
      <c r="I233" s="522"/>
      <c r="J233" s="522"/>
      <c r="K233" s="522"/>
      <c r="L233" s="522"/>
      <c r="M233" s="522"/>
      <c r="N233" s="522"/>
      <c r="O233" s="522"/>
      <c r="P233" s="522"/>
      <c r="Q233" s="522"/>
    </row>
    <row r="234" spans="1:17" ht="13.8" x14ac:dyDescent="0.25">
      <c r="A234" s="522"/>
      <c r="B234" s="522"/>
      <c r="C234" s="522"/>
      <c r="D234" s="522"/>
      <c r="E234" s="522"/>
      <c r="F234" s="522"/>
      <c r="G234" s="522"/>
      <c r="H234" s="522"/>
      <c r="I234" s="522"/>
      <c r="J234" s="522"/>
      <c r="K234" s="522"/>
      <c r="L234" s="522"/>
      <c r="M234" s="522"/>
      <c r="N234" s="522"/>
      <c r="O234" s="522"/>
      <c r="P234" s="522"/>
      <c r="Q234" s="522"/>
    </row>
    <row r="235" spans="1:17" ht="13.8" x14ac:dyDescent="0.25">
      <c r="A235" s="522"/>
      <c r="B235" s="522"/>
      <c r="C235" s="522"/>
      <c r="D235" s="522"/>
      <c r="E235" s="522"/>
      <c r="F235" s="522"/>
      <c r="G235" s="522"/>
      <c r="H235" s="522"/>
      <c r="I235" s="522"/>
      <c r="J235" s="522"/>
      <c r="K235" s="522"/>
      <c r="L235" s="522"/>
      <c r="M235" s="522"/>
      <c r="N235" s="522"/>
      <c r="O235" s="522"/>
      <c r="P235" s="522"/>
      <c r="Q235" s="522"/>
    </row>
    <row r="236" spans="1:17" ht="13.8" x14ac:dyDescent="0.25">
      <c r="A236" s="522"/>
      <c r="B236" s="522"/>
      <c r="C236" s="522"/>
      <c r="D236" s="522"/>
      <c r="E236" s="522"/>
      <c r="F236" s="522"/>
      <c r="G236" s="522"/>
      <c r="H236" s="522"/>
      <c r="I236" s="522"/>
      <c r="J236" s="522"/>
      <c r="K236" s="522"/>
      <c r="L236" s="522"/>
      <c r="M236" s="522"/>
      <c r="N236" s="522"/>
      <c r="O236" s="522"/>
      <c r="P236" s="522"/>
      <c r="Q236" s="522"/>
    </row>
    <row r="237" spans="1:17" ht="13.8" x14ac:dyDescent="0.25">
      <c r="A237" s="522"/>
      <c r="B237" s="522"/>
      <c r="C237" s="522"/>
      <c r="D237" s="522"/>
      <c r="E237" s="522"/>
      <c r="F237" s="522"/>
      <c r="G237" s="522"/>
      <c r="H237" s="522"/>
      <c r="I237" s="522"/>
      <c r="J237" s="522"/>
      <c r="K237" s="522"/>
      <c r="L237" s="522"/>
      <c r="M237" s="522"/>
      <c r="N237" s="522"/>
      <c r="O237" s="522"/>
      <c r="P237" s="522"/>
      <c r="Q237" s="522"/>
    </row>
    <row r="238" spans="1:17" ht="13.8" x14ac:dyDescent="0.25">
      <c r="A238" s="522"/>
      <c r="B238" s="522"/>
      <c r="C238" s="522"/>
      <c r="D238" s="522"/>
      <c r="E238" s="522"/>
      <c r="F238" s="522"/>
      <c r="G238" s="522"/>
      <c r="H238" s="522"/>
      <c r="I238" s="522"/>
      <c r="J238" s="522"/>
      <c r="K238" s="522"/>
      <c r="L238" s="522"/>
      <c r="M238" s="522"/>
      <c r="N238" s="522"/>
      <c r="O238" s="522"/>
      <c r="P238" s="522"/>
      <c r="Q238" s="522"/>
    </row>
    <row r="239" spans="1:17" ht="13.8" x14ac:dyDescent="0.25">
      <c r="A239" s="522"/>
      <c r="B239" s="522"/>
      <c r="C239" s="522"/>
      <c r="D239" s="522"/>
      <c r="E239" s="522"/>
      <c r="F239" s="522"/>
      <c r="G239" s="522"/>
      <c r="H239" s="522"/>
      <c r="I239" s="522"/>
      <c r="J239" s="522"/>
      <c r="K239" s="522"/>
      <c r="L239" s="522"/>
      <c r="M239" s="522"/>
      <c r="N239" s="522"/>
      <c r="O239" s="522"/>
      <c r="P239" s="522"/>
      <c r="Q239" s="522"/>
    </row>
    <row r="240" spans="1:17" ht="13.8" x14ac:dyDescent="0.25">
      <c r="A240" s="522"/>
      <c r="B240" s="522"/>
      <c r="C240" s="522"/>
      <c r="D240" s="522"/>
      <c r="E240" s="522"/>
      <c r="F240" s="522"/>
      <c r="G240" s="522"/>
      <c r="H240" s="522"/>
      <c r="I240" s="522"/>
      <c r="J240" s="522"/>
      <c r="K240" s="522"/>
      <c r="L240" s="522"/>
      <c r="M240" s="522"/>
      <c r="N240" s="522"/>
      <c r="O240" s="522"/>
      <c r="P240" s="522"/>
      <c r="Q240" s="522"/>
    </row>
    <row r="241" spans="1:17" ht="13.8" x14ac:dyDescent="0.25">
      <c r="A241" s="522"/>
      <c r="B241" s="522"/>
      <c r="C241" s="522"/>
      <c r="D241" s="522"/>
      <c r="E241" s="522"/>
      <c r="F241" s="522"/>
      <c r="G241" s="522"/>
      <c r="H241" s="522"/>
      <c r="I241" s="522"/>
      <c r="J241" s="522"/>
      <c r="K241" s="522"/>
      <c r="L241" s="522"/>
      <c r="M241" s="522"/>
      <c r="N241" s="522"/>
      <c r="O241" s="522"/>
      <c r="P241" s="522"/>
      <c r="Q241" s="522"/>
    </row>
    <row r="242" spans="1:17" ht="13.8" x14ac:dyDescent="0.25">
      <c r="A242" s="522"/>
      <c r="B242" s="522"/>
      <c r="C242" s="522"/>
      <c r="D242" s="522"/>
      <c r="E242" s="522"/>
      <c r="F242" s="522"/>
      <c r="G242" s="522"/>
      <c r="H242" s="522"/>
      <c r="I242" s="522"/>
      <c r="J242" s="522"/>
      <c r="K242" s="522"/>
      <c r="L242" s="522"/>
      <c r="M242" s="522"/>
      <c r="N242" s="522"/>
      <c r="O242" s="522"/>
      <c r="P242" s="522"/>
      <c r="Q242" s="522"/>
    </row>
    <row r="243" spans="1:17" ht="13.8" x14ac:dyDescent="0.25">
      <c r="A243" s="522"/>
      <c r="B243" s="522"/>
      <c r="C243" s="522"/>
      <c r="D243" s="522"/>
      <c r="E243" s="522"/>
      <c r="F243" s="522"/>
      <c r="G243" s="522"/>
      <c r="H243" s="522"/>
      <c r="I243" s="522"/>
      <c r="J243" s="522"/>
      <c r="K243" s="522"/>
      <c r="L243" s="522"/>
      <c r="M243" s="522"/>
      <c r="N243" s="522"/>
      <c r="O243" s="522"/>
      <c r="P243" s="522"/>
      <c r="Q243" s="522"/>
    </row>
    <row r="244" spans="1:17" ht="13.8" x14ac:dyDescent="0.25">
      <c r="A244" s="522"/>
      <c r="B244" s="522"/>
      <c r="C244" s="522"/>
      <c r="D244" s="522"/>
      <c r="E244" s="522"/>
      <c r="F244" s="522"/>
      <c r="G244" s="522"/>
      <c r="H244" s="522"/>
      <c r="I244" s="522"/>
      <c r="J244" s="522"/>
      <c r="K244" s="522"/>
      <c r="L244" s="522"/>
      <c r="M244" s="522"/>
      <c r="N244" s="522"/>
      <c r="O244" s="522"/>
      <c r="P244" s="522"/>
      <c r="Q244" s="522"/>
    </row>
    <row r="245" spans="1:17" ht="13.8" x14ac:dyDescent="0.25">
      <c r="A245" s="522"/>
      <c r="B245" s="522"/>
      <c r="C245" s="522"/>
      <c r="D245" s="522"/>
      <c r="E245" s="522"/>
      <c r="F245" s="522"/>
      <c r="G245" s="522"/>
      <c r="H245" s="522"/>
      <c r="I245" s="522"/>
      <c r="J245" s="522"/>
      <c r="K245" s="522"/>
      <c r="L245" s="522"/>
      <c r="M245" s="522"/>
      <c r="N245" s="522"/>
      <c r="O245" s="522"/>
      <c r="P245" s="522"/>
      <c r="Q245" s="522"/>
    </row>
    <row r="246" spans="1:17" ht="13.8" x14ac:dyDescent="0.25">
      <c r="A246" s="522"/>
      <c r="B246" s="522"/>
      <c r="C246" s="522"/>
      <c r="D246" s="522"/>
      <c r="E246" s="522"/>
      <c r="F246" s="522"/>
      <c r="G246" s="522"/>
      <c r="H246" s="522"/>
      <c r="I246" s="522"/>
      <c r="J246" s="522"/>
      <c r="K246" s="522"/>
      <c r="L246" s="522"/>
      <c r="M246" s="522"/>
      <c r="N246" s="522"/>
      <c r="O246" s="522"/>
      <c r="P246" s="522"/>
      <c r="Q246" s="522"/>
    </row>
    <row r="247" spans="1:17" ht="13.8" x14ac:dyDescent="0.25">
      <c r="A247" s="522"/>
      <c r="B247" s="522"/>
      <c r="C247" s="522"/>
      <c r="D247" s="522"/>
      <c r="E247" s="522"/>
      <c r="F247" s="522"/>
      <c r="G247" s="522"/>
      <c r="H247" s="522"/>
      <c r="I247" s="522"/>
      <c r="J247" s="522"/>
      <c r="K247" s="522"/>
      <c r="L247" s="522"/>
      <c r="M247" s="522"/>
      <c r="N247" s="522"/>
      <c r="O247" s="522"/>
      <c r="P247" s="522"/>
      <c r="Q247" s="522"/>
    </row>
    <row r="248" spans="1:17" ht="13.8" x14ac:dyDescent="0.25">
      <c r="A248" s="522"/>
      <c r="B248" s="522"/>
      <c r="C248" s="522"/>
      <c r="D248" s="522"/>
      <c r="E248" s="522"/>
      <c r="F248" s="522"/>
      <c r="G248" s="522"/>
      <c r="H248" s="522"/>
      <c r="I248" s="522"/>
      <c r="J248" s="522"/>
      <c r="K248" s="522"/>
      <c r="L248" s="522"/>
      <c r="M248" s="522"/>
      <c r="N248" s="522"/>
      <c r="O248" s="522"/>
      <c r="P248" s="522"/>
      <c r="Q248" s="522"/>
    </row>
    <row r="249" spans="1:17" ht="13.8" x14ac:dyDescent="0.25">
      <c r="A249" s="522"/>
      <c r="B249" s="522"/>
      <c r="C249" s="522"/>
      <c r="D249" s="522"/>
      <c r="E249" s="522"/>
      <c r="F249" s="522"/>
      <c r="G249" s="522"/>
      <c r="H249" s="522"/>
      <c r="I249" s="522"/>
      <c r="J249" s="522"/>
      <c r="K249" s="522"/>
      <c r="L249" s="522"/>
      <c r="M249" s="522"/>
      <c r="N249" s="522"/>
      <c r="O249" s="522"/>
      <c r="P249" s="522"/>
      <c r="Q249" s="522"/>
    </row>
    <row r="250" spans="1:17" ht="13.8" x14ac:dyDescent="0.25">
      <c r="A250" s="522"/>
      <c r="B250" s="522"/>
      <c r="C250" s="522"/>
      <c r="D250" s="522"/>
      <c r="E250" s="522"/>
      <c r="F250" s="522"/>
      <c r="G250" s="522"/>
      <c r="H250" s="522"/>
      <c r="I250" s="522"/>
      <c r="J250" s="522"/>
      <c r="K250" s="522"/>
      <c r="L250" s="522"/>
      <c r="M250" s="522"/>
      <c r="N250" s="522"/>
      <c r="O250" s="522"/>
      <c r="P250" s="522"/>
      <c r="Q250" s="522"/>
    </row>
    <row r="251" spans="1:17" ht="13.8" x14ac:dyDescent="0.25">
      <c r="A251" s="522"/>
      <c r="B251" s="522"/>
      <c r="C251" s="522"/>
      <c r="D251" s="522"/>
      <c r="E251" s="522"/>
      <c r="F251" s="522"/>
      <c r="G251" s="522"/>
      <c r="H251" s="522"/>
      <c r="I251" s="522"/>
      <c r="J251" s="522"/>
      <c r="K251" s="522"/>
      <c r="L251" s="522"/>
      <c r="M251" s="522"/>
      <c r="N251" s="522"/>
      <c r="O251" s="522"/>
      <c r="P251" s="522"/>
      <c r="Q251" s="522"/>
    </row>
    <row r="252" spans="1:17" ht="13.8" x14ac:dyDescent="0.25">
      <c r="A252" s="522"/>
      <c r="B252" s="522"/>
      <c r="C252" s="522"/>
      <c r="D252" s="522"/>
      <c r="E252" s="522"/>
      <c r="F252" s="522"/>
      <c r="G252" s="522"/>
      <c r="H252" s="522"/>
      <c r="I252" s="522"/>
      <c r="J252" s="522"/>
      <c r="K252" s="522"/>
      <c r="L252" s="522"/>
      <c r="M252" s="522"/>
      <c r="N252" s="522"/>
      <c r="O252" s="522"/>
      <c r="P252" s="522"/>
      <c r="Q252" s="522"/>
    </row>
    <row r="253" spans="1:17" ht="13.8" x14ac:dyDescent="0.25">
      <c r="A253" s="522"/>
      <c r="B253" s="522"/>
      <c r="C253" s="522"/>
      <c r="D253" s="522"/>
      <c r="E253" s="522"/>
      <c r="F253" s="522"/>
      <c r="G253" s="522"/>
      <c r="H253" s="522"/>
      <c r="I253" s="522"/>
      <c r="J253" s="522"/>
      <c r="K253" s="522"/>
      <c r="L253" s="522"/>
      <c r="M253" s="522"/>
      <c r="N253" s="522"/>
      <c r="O253" s="522"/>
      <c r="P253" s="522"/>
      <c r="Q253" s="522"/>
    </row>
    <row r="254" spans="1:17" ht="13.8" x14ac:dyDescent="0.25">
      <c r="A254" s="522"/>
      <c r="B254" s="522"/>
      <c r="C254" s="522"/>
      <c r="D254" s="522"/>
      <c r="E254" s="522"/>
      <c r="F254" s="522"/>
      <c r="G254" s="522"/>
      <c r="H254" s="522"/>
      <c r="I254" s="522"/>
      <c r="J254" s="522"/>
      <c r="K254" s="522"/>
      <c r="L254" s="522"/>
      <c r="M254" s="522"/>
      <c r="N254" s="522"/>
      <c r="O254" s="522"/>
      <c r="P254" s="522"/>
      <c r="Q254" s="522"/>
    </row>
    <row r="255" spans="1:17" ht="13.8" x14ac:dyDescent="0.25">
      <c r="A255" s="522"/>
      <c r="B255" s="522"/>
      <c r="C255" s="522"/>
      <c r="D255" s="522"/>
      <c r="E255" s="522"/>
      <c r="F255" s="522"/>
      <c r="G255" s="522"/>
      <c r="H255" s="522"/>
      <c r="I255" s="522"/>
      <c r="J255" s="522"/>
      <c r="K255" s="522"/>
      <c r="L255" s="522"/>
      <c r="M255" s="522"/>
      <c r="N255" s="522"/>
      <c r="O255" s="522"/>
      <c r="P255" s="522"/>
      <c r="Q255" s="522"/>
    </row>
    <row r="256" spans="1:17" ht="13.8" x14ac:dyDescent="0.25">
      <c r="A256" s="522"/>
      <c r="B256" s="522"/>
      <c r="C256" s="522"/>
      <c r="D256" s="522"/>
      <c r="E256" s="522"/>
      <c r="F256" s="522"/>
      <c r="G256" s="522"/>
      <c r="H256" s="522"/>
      <c r="I256" s="522"/>
      <c r="J256" s="522"/>
      <c r="K256" s="522"/>
      <c r="L256" s="522"/>
      <c r="M256" s="522"/>
      <c r="N256" s="522"/>
      <c r="O256" s="522"/>
      <c r="P256" s="522"/>
      <c r="Q256" s="522"/>
    </row>
    <row r="257" spans="1:17" ht="13.8" x14ac:dyDescent="0.25">
      <c r="A257" s="522"/>
      <c r="B257" s="522"/>
      <c r="C257" s="522"/>
      <c r="D257" s="522"/>
      <c r="E257" s="522"/>
      <c r="F257" s="522"/>
      <c r="G257" s="522"/>
      <c r="H257" s="522"/>
      <c r="I257" s="522"/>
      <c r="J257" s="522"/>
      <c r="K257" s="522"/>
      <c r="L257" s="522"/>
      <c r="M257" s="522"/>
      <c r="N257" s="522"/>
      <c r="O257" s="522"/>
      <c r="P257" s="522"/>
      <c r="Q257" s="522"/>
    </row>
    <row r="258" spans="1:17" ht="13.8" x14ac:dyDescent="0.25">
      <c r="A258" s="522"/>
      <c r="B258" s="522"/>
      <c r="C258" s="522"/>
      <c r="D258" s="522"/>
      <c r="E258" s="522"/>
      <c r="F258" s="522"/>
      <c r="G258" s="522"/>
      <c r="H258" s="522"/>
      <c r="I258" s="522"/>
      <c r="J258" s="522"/>
      <c r="K258" s="522"/>
      <c r="L258" s="522"/>
      <c r="M258" s="522"/>
      <c r="N258" s="522"/>
      <c r="O258" s="522"/>
      <c r="P258" s="522"/>
      <c r="Q258" s="522"/>
    </row>
    <row r="259" spans="1:17" ht="13.8" x14ac:dyDescent="0.25">
      <c r="A259" s="522"/>
      <c r="B259" s="522"/>
      <c r="C259" s="522"/>
      <c r="D259" s="522"/>
      <c r="E259" s="522"/>
      <c r="F259" s="522"/>
      <c r="G259" s="522"/>
      <c r="H259" s="522"/>
      <c r="I259" s="522"/>
      <c r="J259" s="522"/>
      <c r="K259" s="522"/>
      <c r="L259" s="522"/>
      <c r="M259" s="522"/>
      <c r="N259" s="522"/>
      <c r="O259" s="522"/>
      <c r="P259" s="522"/>
      <c r="Q259" s="522"/>
    </row>
    <row r="260" spans="1:17" ht="13.8" x14ac:dyDescent="0.25">
      <c r="A260" s="522"/>
      <c r="B260" s="522"/>
      <c r="C260" s="522"/>
      <c r="D260" s="522"/>
      <c r="E260" s="522"/>
      <c r="F260" s="522"/>
      <c r="G260" s="522"/>
      <c r="H260" s="522"/>
      <c r="I260" s="522"/>
      <c r="J260" s="522"/>
      <c r="K260" s="522"/>
      <c r="L260" s="522"/>
      <c r="M260" s="522"/>
      <c r="N260" s="522"/>
      <c r="O260" s="522"/>
      <c r="P260" s="522"/>
      <c r="Q260" s="522"/>
    </row>
    <row r="261" spans="1:17" ht="13.8" x14ac:dyDescent="0.25">
      <c r="A261" s="522"/>
      <c r="B261" s="522"/>
      <c r="C261" s="522"/>
      <c r="D261" s="522"/>
      <c r="E261" s="522"/>
      <c r="F261" s="522"/>
      <c r="G261" s="522"/>
      <c r="H261" s="522"/>
      <c r="I261" s="522"/>
      <c r="J261" s="522"/>
      <c r="K261" s="522"/>
      <c r="L261" s="522"/>
      <c r="M261" s="522"/>
      <c r="N261" s="522"/>
      <c r="O261" s="522"/>
      <c r="P261" s="522"/>
      <c r="Q261" s="522"/>
    </row>
    <row r="262" spans="1:17" ht="13.8" x14ac:dyDescent="0.25">
      <c r="A262" s="522"/>
      <c r="B262" s="522"/>
      <c r="C262" s="522"/>
      <c r="D262" s="522"/>
      <c r="E262" s="522"/>
      <c r="F262" s="522"/>
      <c r="G262" s="522"/>
      <c r="H262" s="522"/>
      <c r="I262" s="522"/>
      <c r="J262" s="522"/>
      <c r="K262" s="522"/>
      <c r="L262" s="522"/>
      <c r="M262" s="522"/>
      <c r="N262" s="522"/>
      <c r="O262" s="522"/>
      <c r="P262" s="522"/>
      <c r="Q262" s="522"/>
    </row>
    <row r="263" spans="1:17" ht="13.8" x14ac:dyDescent="0.25">
      <c r="A263" s="522"/>
      <c r="B263" s="522"/>
      <c r="C263" s="522"/>
      <c r="D263" s="522"/>
      <c r="E263" s="522"/>
      <c r="F263" s="522"/>
      <c r="G263" s="522"/>
      <c r="H263" s="522"/>
      <c r="I263" s="522"/>
      <c r="J263" s="522"/>
      <c r="K263" s="522"/>
      <c r="L263" s="522"/>
      <c r="M263" s="522"/>
      <c r="N263" s="522"/>
      <c r="O263" s="522"/>
      <c r="P263" s="522"/>
      <c r="Q263" s="522"/>
    </row>
    <row r="264" spans="1:17" ht="13.8" x14ac:dyDescent="0.25">
      <c r="A264" s="522"/>
      <c r="B264" s="522"/>
      <c r="C264" s="522"/>
      <c r="D264" s="522"/>
      <c r="E264" s="522"/>
      <c r="F264" s="522"/>
      <c r="G264" s="522"/>
      <c r="H264" s="522"/>
      <c r="I264" s="522"/>
      <c r="J264" s="522"/>
      <c r="K264" s="522"/>
      <c r="L264" s="522"/>
      <c r="M264" s="522"/>
      <c r="N264" s="522"/>
      <c r="O264" s="522"/>
      <c r="P264" s="522"/>
      <c r="Q264" s="522"/>
    </row>
    <row r="265" spans="1:17" ht="13.8" x14ac:dyDescent="0.25">
      <c r="A265" s="522"/>
      <c r="B265" s="522"/>
      <c r="C265" s="522"/>
      <c r="D265" s="522"/>
      <c r="E265" s="522"/>
      <c r="F265" s="522"/>
      <c r="G265" s="522"/>
      <c r="H265" s="522"/>
      <c r="I265" s="522"/>
      <c r="J265" s="522"/>
      <c r="K265" s="522"/>
      <c r="L265" s="522"/>
      <c r="M265" s="522"/>
      <c r="N265" s="522"/>
      <c r="O265" s="522"/>
      <c r="P265" s="522"/>
      <c r="Q265" s="522"/>
    </row>
    <row r="266" spans="1:17" ht="13.8" x14ac:dyDescent="0.25">
      <c r="A266" s="522"/>
      <c r="B266" s="522"/>
      <c r="C266" s="522"/>
      <c r="D266" s="522"/>
      <c r="E266" s="522"/>
      <c r="F266" s="522"/>
      <c r="G266" s="522"/>
      <c r="H266" s="522"/>
      <c r="I266" s="522"/>
      <c r="J266" s="522"/>
      <c r="K266" s="522"/>
      <c r="L266" s="522"/>
      <c r="M266" s="522"/>
      <c r="N266" s="522"/>
      <c r="O266" s="522"/>
      <c r="P266" s="522"/>
      <c r="Q266" s="522"/>
    </row>
    <row r="267" spans="1:17" ht="13.8" x14ac:dyDescent="0.25">
      <c r="A267" s="522"/>
      <c r="B267" s="522"/>
      <c r="C267" s="522"/>
      <c r="D267" s="522"/>
      <c r="E267" s="522"/>
      <c r="F267" s="522"/>
      <c r="G267" s="522"/>
      <c r="H267" s="522"/>
      <c r="I267" s="522"/>
      <c r="J267" s="522"/>
      <c r="K267" s="522"/>
      <c r="L267" s="522"/>
      <c r="M267" s="522"/>
      <c r="N267" s="522"/>
      <c r="O267" s="522"/>
      <c r="P267" s="522"/>
      <c r="Q267" s="522"/>
    </row>
    <row r="268" spans="1:17" ht="13.8" x14ac:dyDescent="0.25">
      <c r="A268" s="522"/>
      <c r="B268" s="522"/>
      <c r="C268" s="522"/>
      <c r="D268" s="522"/>
      <c r="E268" s="522"/>
      <c r="F268" s="522"/>
      <c r="G268" s="522"/>
      <c r="H268" s="522"/>
      <c r="I268" s="522"/>
      <c r="J268" s="522"/>
      <c r="K268" s="522"/>
      <c r="L268" s="522"/>
      <c r="M268" s="522"/>
      <c r="N268" s="522"/>
      <c r="O268" s="522"/>
      <c r="P268" s="522"/>
      <c r="Q268" s="522"/>
    </row>
    <row r="269" spans="1:17" ht="13.8" x14ac:dyDescent="0.25">
      <c r="A269" s="522"/>
      <c r="B269" s="522"/>
      <c r="C269" s="522"/>
      <c r="D269" s="522"/>
      <c r="E269" s="522"/>
      <c r="F269" s="522"/>
      <c r="G269" s="522"/>
      <c r="H269" s="522"/>
      <c r="I269" s="522"/>
      <c r="J269" s="522"/>
      <c r="K269" s="522"/>
      <c r="L269" s="522"/>
      <c r="M269" s="522"/>
      <c r="N269" s="522"/>
      <c r="O269" s="522"/>
      <c r="P269" s="522"/>
      <c r="Q269" s="522"/>
    </row>
    <row r="270" spans="1:17" ht="13.8" x14ac:dyDescent="0.25">
      <c r="A270" s="522"/>
      <c r="B270" s="522"/>
      <c r="C270" s="522"/>
      <c r="D270" s="522"/>
      <c r="E270" s="522"/>
      <c r="F270" s="522"/>
      <c r="G270" s="522"/>
      <c r="H270" s="522"/>
      <c r="I270" s="522"/>
      <c r="J270" s="522"/>
      <c r="K270" s="522"/>
      <c r="L270" s="522"/>
      <c r="M270" s="522"/>
      <c r="N270" s="522"/>
      <c r="O270" s="522"/>
      <c r="P270" s="522"/>
      <c r="Q270" s="522"/>
    </row>
    <row r="271" spans="1:17" ht="13.8" x14ac:dyDescent="0.25">
      <c r="A271" s="522"/>
      <c r="B271" s="522"/>
      <c r="C271" s="522"/>
      <c r="D271" s="522"/>
      <c r="E271" s="522"/>
      <c r="F271" s="522"/>
      <c r="G271" s="522"/>
      <c r="H271" s="522"/>
      <c r="I271" s="522"/>
      <c r="J271" s="522"/>
      <c r="K271" s="522"/>
      <c r="L271" s="522"/>
      <c r="M271" s="522"/>
      <c r="N271" s="522"/>
      <c r="O271" s="522"/>
      <c r="P271" s="522"/>
      <c r="Q271" s="522"/>
    </row>
    <row r="272" spans="1:17" ht="13.8" x14ac:dyDescent="0.25">
      <c r="A272" s="522"/>
      <c r="B272" s="522"/>
      <c r="C272" s="522"/>
      <c r="D272" s="522"/>
      <c r="E272" s="522"/>
      <c r="F272" s="522"/>
      <c r="G272" s="522"/>
      <c r="H272" s="522"/>
      <c r="I272" s="522"/>
      <c r="J272" s="522"/>
      <c r="K272" s="522"/>
      <c r="L272" s="522"/>
      <c r="M272" s="522"/>
      <c r="N272" s="522"/>
      <c r="O272" s="522"/>
      <c r="P272" s="522"/>
      <c r="Q272" s="522"/>
    </row>
    <row r="273" spans="1:17" ht="13.8" x14ac:dyDescent="0.25">
      <c r="A273" s="522"/>
      <c r="B273" s="522"/>
      <c r="C273" s="522"/>
      <c r="D273" s="522"/>
      <c r="E273" s="522"/>
      <c r="F273" s="522"/>
      <c r="G273" s="522"/>
      <c r="H273" s="522"/>
      <c r="I273" s="522"/>
      <c r="J273" s="522"/>
      <c r="K273" s="522"/>
      <c r="L273" s="522"/>
      <c r="M273" s="522"/>
      <c r="N273" s="522"/>
      <c r="O273" s="522"/>
      <c r="P273" s="522"/>
      <c r="Q273" s="522"/>
    </row>
    <row r="274" spans="1:17" ht="13.8" x14ac:dyDescent="0.25">
      <c r="A274" s="522"/>
      <c r="B274" s="522"/>
      <c r="C274" s="522"/>
      <c r="D274" s="522"/>
      <c r="E274" s="522"/>
      <c r="F274" s="522"/>
      <c r="G274" s="522"/>
      <c r="H274" s="522"/>
      <c r="I274" s="522"/>
      <c r="J274" s="522"/>
      <c r="K274" s="522"/>
      <c r="L274" s="522"/>
      <c r="M274" s="522"/>
      <c r="N274" s="522"/>
      <c r="O274" s="522"/>
      <c r="P274" s="522"/>
      <c r="Q274" s="522"/>
    </row>
    <row r="275" spans="1:17" ht="13.8" x14ac:dyDescent="0.25">
      <c r="A275" s="522"/>
      <c r="B275" s="522"/>
      <c r="C275" s="522"/>
      <c r="D275" s="522"/>
      <c r="E275" s="522"/>
      <c r="F275" s="522"/>
      <c r="G275" s="522"/>
      <c r="H275" s="522"/>
      <c r="I275" s="522"/>
      <c r="J275" s="522"/>
      <c r="K275" s="522"/>
      <c r="L275" s="522"/>
      <c r="M275" s="522"/>
      <c r="N275" s="522"/>
      <c r="O275" s="522"/>
      <c r="P275" s="522"/>
      <c r="Q275" s="522"/>
    </row>
    <row r="276" spans="1:17" ht="13.8" x14ac:dyDescent="0.25">
      <c r="A276" s="522"/>
      <c r="B276" s="522"/>
      <c r="C276" s="522"/>
      <c r="D276" s="522"/>
      <c r="E276" s="522"/>
      <c r="F276" s="522"/>
      <c r="G276" s="522"/>
      <c r="H276" s="522"/>
      <c r="I276" s="522"/>
      <c r="J276" s="522"/>
      <c r="K276" s="522"/>
      <c r="L276" s="522"/>
      <c r="M276" s="522"/>
      <c r="N276" s="522"/>
      <c r="O276" s="522"/>
      <c r="P276" s="522"/>
      <c r="Q276" s="522"/>
    </row>
    <row r="277" spans="1:17" ht="13.8" x14ac:dyDescent="0.25">
      <c r="A277" s="522"/>
      <c r="B277" s="522"/>
      <c r="C277" s="522"/>
      <c r="D277" s="522"/>
      <c r="E277" s="522"/>
      <c r="F277" s="522"/>
      <c r="G277" s="522"/>
      <c r="H277" s="522"/>
      <c r="I277" s="522"/>
      <c r="J277" s="522"/>
      <c r="K277" s="522"/>
      <c r="L277" s="522"/>
      <c r="M277" s="522"/>
      <c r="N277" s="522"/>
      <c r="O277" s="522"/>
      <c r="P277" s="522"/>
      <c r="Q277" s="522"/>
    </row>
    <row r="278" spans="1:17" ht="13.8" x14ac:dyDescent="0.25">
      <c r="A278" s="522"/>
      <c r="B278" s="522"/>
      <c r="C278" s="522"/>
      <c r="D278" s="522"/>
      <c r="E278" s="522"/>
      <c r="F278" s="522"/>
      <c r="G278" s="522"/>
      <c r="H278" s="522"/>
      <c r="I278" s="522"/>
      <c r="J278" s="522"/>
      <c r="K278" s="522"/>
      <c r="L278" s="522"/>
      <c r="M278" s="522"/>
      <c r="N278" s="522"/>
      <c r="O278" s="522"/>
      <c r="P278" s="522"/>
      <c r="Q278" s="522"/>
    </row>
    <row r="279" spans="1:17" x14ac:dyDescent="0.25">
      <c r="L279" s="466"/>
    </row>
    <row r="280" spans="1:17" x14ac:dyDescent="0.25">
      <c r="L280" s="466"/>
    </row>
    <row r="281" spans="1:17" x14ac:dyDescent="0.25">
      <c r="L281" s="466"/>
    </row>
    <row r="282" spans="1:17" x14ac:dyDescent="0.25">
      <c r="L282" s="466"/>
    </row>
    <row r="283" spans="1:17" x14ac:dyDescent="0.25">
      <c r="L283" s="466"/>
    </row>
    <row r="284" spans="1:17" x14ac:dyDescent="0.25">
      <c r="L284" s="466"/>
    </row>
    <row r="285" spans="1:17" x14ac:dyDescent="0.25">
      <c r="L285" s="466"/>
    </row>
    <row r="286" spans="1:17" x14ac:dyDescent="0.25">
      <c r="L286" s="466"/>
    </row>
    <row r="287" spans="1:17" x14ac:dyDescent="0.25">
      <c r="L287" s="466"/>
    </row>
    <row r="288" spans="1:17" x14ac:dyDescent="0.25">
      <c r="L288" s="466"/>
    </row>
    <row r="289" spans="12:12" x14ac:dyDescent="0.25">
      <c r="L289" s="466"/>
    </row>
    <row r="290" spans="12:12" x14ac:dyDescent="0.25">
      <c r="L290" s="466"/>
    </row>
    <row r="291" spans="12:12" x14ac:dyDescent="0.25">
      <c r="L291" s="466"/>
    </row>
    <row r="292" spans="12:12" x14ac:dyDescent="0.25">
      <c r="L292" s="466"/>
    </row>
    <row r="293" spans="12:12" x14ac:dyDescent="0.25">
      <c r="L293" s="466"/>
    </row>
  </sheetData>
  <pageMargins left="0.7" right="0.7" top="0.75" bottom="0.75" header="0.3" footer="0.3"/>
  <pageSetup paperSize="9" orientation="portrait" horizontalDpi="0" verticalDpi="0"/>
  <ignoredErrors>
    <ignoredError sqref="B14:J14 C27:J27 B31 C31:E3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8971-686F-8746-BAAA-97AF9A1D0518}">
  <dimension ref="A1:K25"/>
  <sheetViews>
    <sheetView tabSelected="1" zoomScale="110" zoomScaleNormal="110" workbookViewId="0">
      <selection activeCell="H4" sqref="H4:H16"/>
    </sheetView>
  </sheetViews>
  <sheetFormatPr baseColWidth="10" defaultRowHeight="13.2" x14ac:dyDescent="0.25"/>
  <cols>
    <col min="1" max="1" width="53.77734375" customWidth="1"/>
    <col min="2" max="10" width="15.44140625" customWidth="1"/>
  </cols>
  <sheetData>
    <row r="1" spans="1:11" ht="13.2" customHeight="1" x14ac:dyDescent="0.25">
      <c r="A1" s="226" t="s">
        <v>141</v>
      </c>
      <c r="B1" s="226"/>
      <c r="C1" s="226"/>
      <c r="D1" s="226"/>
      <c r="E1" s="226"/>
      <c r="F1" s="226"/>
      <c r="G1" s="226"/>
      <c r="H1" s="226"/>
      <c r="I1" s="226"/>
      <c r="J1" s="226"/>
      <c r="K1" s="73"/>
    </row>
    <row r="2" spans="1:11" s="720" customFormat="1" ht="13.2" customHeight="1" x14ac:dyDescent="0.25"/>
    <row r="3" spans="1:11" ht="31.95" customHeight="1" x14ac:dyDescent="0.25">
      <c r="A3" s="291" t="s">
        <v>462</v>
      </c>
      <c r="B3" s="291" t="s">
        <v>330</v>
      </c>
      <c r="C3" s="291" t="s">
        <v>331</v>
      </c>
      <c r="D3" s="291" t="s">
        <v>332</v>
      </c>
      <c r="E3" s="291" t="s">
        <v>463</v>
      </c>
      <c r="F3" s="291" t="s">
        <v>464</v>
      </c>
      <c r="G3" s="291" t="s">
        <v>465</v>
      </c>
      <c r="H3" s="291" t="s">
        <v>334</v>
      </c>
      <c r="I3" s="291" t="s">
        <v>335</v>
      </c>
      <c r="J3" s="291" t="s">
        <v>336</v>
      </c>
      <c r="K3" s="1"/>
    </row>
    <row r="4" spans="1:11" ht="18" customHeight="1" x14ac:dyDescent="0.25">
      <c r="A4" s="87" t="s">
        <v>451</v>
      </c>
      <c r="B4" s="292">
        <f>+'7-CALCULO TARIFARIO'!B11/'7-CALCULO TARIFARIO'!B6</f>
        <v>9679415</v>
      </c>
      <c r="C4" s="292">
        <f>+'7-CALCULO TARIFARIO'!C11/'7-CALCULO TARIFARIO'!C6</f>
        <v>10306100.1875</v>
      </c>
      <c r="D4" s="292">
        <f>+'7-CALCULO TARIFARIO'!D11/'7-CALCULO TARIFARIO'!D6</f>
        <v>23348446.666666668</v>
      </c>
      <c r="E4" s="292">
        <f>+'7-CALCULO TARIFARIO'!E11/'7-CALCULO TARIFARIO'!E6</f>
        <v>9125216.8000000007</v>
      </c>
      <c r="F4" s="292">
        <f>+'7-CALCULO TARIFARIO'!F11/'7-CALCULO TARIFARIO'!F6</f>
        <v>1716370.4</v>
      </c>
      <c r="G4" s="292">
        <f>+'7-CALCULO TARIFARIO'!G11/'7-CALCULO TARIFARIO'!G6</f>
        <v>6993861.4629629627</v>
      </c>
      <c r="H4" s="292">
        <f>+'7-CALCULO TARIFARIO'!H11/'7-CALCULO TARIFARIO'!H6</f>
        <v>6906949.7142857146</v>
      </c>
      <c r="I4" s="292">
        <f>+'7-CALCULO TARIFARIO'!I11/'7-CALCULO TARIFARIO'!I6</f>
        <v>6120900.730769231</v>
      </c>
      <c r="J4" s="292">
        <f>+'7-CALCULO TARIFARIO'!J11/'7-CALCULO TARIFARIO'!J6</f>
        <v>3193089.4285714286</v>
      </c>
      <c r="K4" s="1"/>
    </row>
    <row r="5" spans="1:11" ht="18" customHeight="1" x14ac:dyDescent="0.25">
      <c r="A5" s="88" t="s">
        <v>452</v>
      </c>
      <c r="B5" s="293">
        <f>+'7-CALCULO TARIFARIO'!B17/'7-CALCULO TARIFARIO'!B6</f>
        <v>2810133.0666666669</v>
      </c>
      <c r="C5" s="293">
        <f>+'7-CALCULO TARIFARIO'!C17/'7-CALCULO TARIFARIO'!C6</f>
        <v>3789504.0729166665</v>
      </c>
      <c r="D5" s="293">
        <f>+'7-CALCULO TARIFARIO'!D17/'7-CALCULO TARIFARIO'!D6</f>
        <v>13364097.666666666</v>
      </c>
      <c r="E5" s="293">
        <f>+'7-CALCULO TARIFARIO'!E17/'7-CALCULO TARIFARIO'!E6</f>
        <v>10526738.4</v>
      </c>
      <c r="F5" s="293">
        <f>+'7-CALCULO TARIFARIO'!F17/'7-CALCULO TARIFARIO'!F6</f>
        <v>1526592.5</v>
      </c>
      <c r="G5" s="293">
        <f>+'7-CALCULO TARIFARIO'!G17/'7-CALCULO TARIFARIO'!G6</f>
        <v>2512881.8425925928</v>
      </c>
      <c r="H5" s="293">
        <f>+'7-CALCULO TARIFARIO'!H17/'7-CALCULO TARIFARIO'!H6</f>
        <v>4001789.7619047621</v>
      </c>
      <c r="I5" s="293">
        <f>+'7-CALCULO TARIFARIO'!I17/'7-CALCULO TARIFARIO'!I6</f>
        <v>1962696.0128205128</v>
      </c>
      <c r="J5" s="293">
        <f>+'7-CALCULO TARIFARIO'!J17/'7-CALCULO TARIFARIO'!J6</f>
        <v>1277596.8775510204</v>
      </c>
      <c r="K5" s="1"/>
    </row>
    <row r="6" spans="1:11" ht="18" customHeight="1" x14ac:dyDescent="0.25">
      <c r="A6" s="88" t="s">
        <v>453</v>
      </c>
      <c r="B6" s="206">
        <f>+'7-CALCULO TARIFARIO'!B30/'7-CALCULO TARIFARIO'!B6</f>
        <v>51.766666666666666</v>
      </c>
      <c r="C6" s="206">
        <f>+'7-CALCULO TARIFARIO'!C30/'7-CALCULO TARIFARIO'!C6</f>
        <v>64.270833333333329</v>
      </c>
      <c r="D6" s="206">
        <f>+'7-CALCULO TARIFARIO'!D30/'7-CALCULO TARIFARIO'!D6</f>
        <v>171.80170311850532</v>
      </c>
      <c r="E6" s="206">
        <f>+'7-CALCULO TARIFARIO'!E30/'7-CALCULO TARIFARIO'!E6</f>
        <v>89.2</v>
      </c>
      <c r="F6" s="206">
        <f>+'7-CALCULO TARIFARIO'!F30/'7-CALCULO TARIFARIO'!F6</f>
        <v>17.199998699970532</v>
      </c>
      <c r="G6" s="206">
        <f>+'7-CALCULO TARIFARIO'!G30/'7-CALCULO TARIFARIO'!G6</f>
        <v>38.15739770606092</v>
      </c>
      <c r="H6" s="206">
        <f>+'7-CALCULO TARIFARIO'!H30/'7-CALCULO TARIFARIO'!H6</f>
        <v>44.61904819083086</v>
      </c>
      <c r="I6" s="206">
        <f>+'7-CALCULO TARIFARIO'!I30/'7-CALCULO TARIFARIO'!I6</f>
        <v>32.192307692307693</v>
      </c>
      <c r="J6" s="206">
        <f>+'7-CALCULO TARIFARIO'!J30/'7-CALCULO TARIFARIO'!J6</f>
        <v>19.469398066000753</v>
      </c>
      <c r="K6" s="1"/>
    </row>
    <row r="7" spans="1:11" ht="18" customHeight="1" x14ac:dyDescent="0.25">
      <c r="A7" s="88" t="s">
        <v>454</v>
      </c>
      <c r="B7" s="490">
        <f>+'7-CALCULO TARIFARIO'!B23/'7-CALCULO TARIFARIO'!B6</f>
        <v>4405911362.7333336</v>
      </c>
      <c r="C7" s="490">
        <f>+'7-CALCULO TARIFARIO'!C23/'7-CALCULO TARIFARIO'!C6</f>
        <v>4107133462.1666665</v>
      </c>
      <c r="D7" s="490">
        <f>+'7-CALCULO TARIFARIO'!D23/'7-CALCULO TARIFARIO'!D6</f>
        <v>11419794112</v>
      </c>
      <c r="E7" s="490">
        <f>+'7-CALCULO TARIFARIO'!E23/'7-CALCULO TARIFARIO'!E6</f>
        <v>10822932241.799999</v>
      </c>
      <c r="F7" s="490">
        <f>+'7-CALCULO TARIFARIO'!F23/'7-CALCULO TARIFARIO'!F6</f>
        <v>3123878710.8000002</v>
      </c>
      <c r="G7" s="490">
        <f>+'7-CALCULO TARIFARIO'!G23/'7-CALCULO TARIFARIO'!G6</f>
        <v>2876152564.3240743</v>
      </c>
      <c r="H7" s="490">
        <f>+'7-CALCULO TARIFARIO'!H23/'7-CALCULO TARIFARIO'!H6</f>
        <v>3759641866.7619047</v>
      </c>
      <c r="I7" s="490">
        <f>+'7-CALCULO TARIFARIO'!I23/'7-CALCULO TARIFARIO'!I6</f>
        <v>2347612853.8717947</v>
      </c>
      <c r="J7" s="490">
        <f>+'7-CALCULO TARIFARIO'!J23/'7-CALCULO TARIFARIO'!J6</f>
        <v>1299643979.6530612</v>
      </c>
      <c r="K7" s="1"/>
    </row>
    <row r="8" spans="1:11" ht="18" customHeight="1" x14ac:dyDescent="0.25">
      <c r="A8" s="88" t="s">
        <v>455</v>
      </c>
      <c r="B8" s="293">
        <f>+'7-CALCULO TARIFARIO'!B17/'7-CALCULO TARIFARIO'!B30</f>
        <v>54284.605280103024</v>
      </c>
      <c r="C8" s="293">
        <f>+'7-CALCULO TARIFARIO'!C17/'7-CALCULO TARIFARIO'!C30</f>
        <v>58961.489627228526</v>
      </c>
      <c r="D8" s="293">
        <f>+'7-CALCULO TARIFARIO'!D17/'7-CALCULO TARIFARIO'!D30</f>
        <v>77787.923076923078</v>
      </c>
      <c r="E8" s="293">
        <f>+'7-CALCULO TARIFARIO'!E17/'7-CALCULO TARIFARIO'!E30</f>
        <v>118012.76233183856</v>
      </c>
      <c r="F8" s="293">
        <f>+'7-CALCULO TARIFARIO'!F17/'7-CALCULO TARIFARIO'!F30</f>
        <v>88755.38461538461</v>
      </c>
      <c r="G8" s="293">
        <f>+'7-CALCULO TARIFARIO'!G17/'7-CALCULO TARIFARIO'!G30</f>
        <v>65855.692307692312</v>
      </c>
      <c r="H8" s="293">
        <f>+'7-CALCULO TARIFARIO'!H17/'7-CALCULO TARIFARIO'!H30</f>
        <v>89687.923076923078</v>
      </c>
      <c r="I8" s="293">
        <f>+'7-CALCULO TARIFARIO'!I17/'7-CALCULO TARIFARIO'!I30</f>
        <v>60967.857029072082</v>
      </c>
      <c r="J8" s="293">
        <f>+'7-CALCULO TARIFARIO'!J17/'7-CALCULO TARIFARIO'!J30</f>
        <v>65620.769230769234</v>
      </c>
      <c r="K8" s="71"/>
    </row>
    <row r="9" spans="1:11" ht="18" customHeight="1" x14ac:dyDescent="0.25">
      <c r="A9" s="88" t="s">
        <v>456</v>
      </c>
      <c r="B9" s="294">
        <v>0.03</v>
      </c>
      <c r="C9" s="294">
        <v>0.03</v>
      </c>
      <c r="D9" s="294">
        <v>0.03</v>
      </c>
      <c r="E9" s="294">
        <v>0.03</v>
      </c>
      <c r="F9" s="294">
        <v>0.03</v>
      </c>
      <c r="G9" s="294">
        <v>0.03</v>
      </c>
      <c r="H9" s="294">
        <v>0.03</v>
      </c>
      <c r="I9" s="294">
        <v>0.03</v>
      </c>
      <c r="J9" s="294">
        <v>0.03</v>
      </c>
      <c r="K9" s="1"/>
    </row>
    <row r="10" spans="1:11" ht="18" customHeight="1" x14ac:dyDescent="0.25">
      <c r="A10" s="88" t="s">
        <v>457</v>
      </c>
      <c r="B10" s="293">
        <f>+B11*B8</f>
        <v>542846.05280103022</v>
      </c>
      <c r="C10" s="293">
        <f>+C11*C8</f>
        <v>766499.3651539709</v>
      </c>
      <c r="D10" s="293">
        <f>+D11*D8</f>
        <v>1011243</v>
      </c>
      <c r="E10" s="293">
        <f t="shared" ref="E10:J10" si="0">+E11*E8</f>
        <v>1534165.9103139013</v>
      </c>
      <c r="F10" s="293">
        <f t="shared" si="0"/>
        <v>1153820</v>
      </c>
      <c r="G10" s="293">
        <f t="shared" si="0"/>
        <v>856124</v>
      </c>
      <c r="H10" s="293">
        <f t="shared" si="0"/>
        <v>1165943</v>
      </c>
      <c r="I10" s="293">
        <f t="shared" si="0"/>
        <v>792582.14137793705</v>
      </c>
      <c r="J10" s="293">
        <f t="shared" si="0"/>
        <v>853070</v>
      </c>
      <c r="K10" s="1"/>
    </row>
    <row r="11" spans="1:11" ht="18" customHeight="1" x14ac:dyDescent="0.25">
      <c r="A11" s="88" t="s">
        <v>458</v>
      </c>
      <c r="B11" s="295">
        <v>10</v>
      </c>
      <c r="C11" s="295">
        <v>13</v>
      </c>
      <c r="D11" s="295">
        <f t="shared" ref="D11:J11" si="1">+C11</f>
        <v>13</v>
      </c>
      <c r="E11" s="295">
        <f t="shared" si="1"/>
        <v>13</v>
      </c>
      <c r="F11" s="295">
        <f t="shared" si="1"/>
        <v>13</v>
      </c>
      <c r="G11" s="295">
        <v>13</v>
      </c>
      <c r="H11" s="295">
        <f t="shared" si="1"/>
        <v>13</v>
      </c>
      <c r="I11" s="295">
        <f t="shared" si="1"/>
        <v>13</v>
      </c>
      <c r="J11" s="295">
        <f t="shared" si="1"/>
        <v>13</v>
      </c>
      <c r="K11" s="1"/>
    </row>
    <row r="12" spans="1:11" ht="18" customHeight="1" x14ac:dyDescent="0.25">
      <c r="A12" s="88" t="s">
        <v>459</v>
      </c>
      <c r="B12" s="449">
        <v>13.43</v>
      </c>
      <c r="C12" s="449">
        <v>16.238046287237374</v>
      </c>
      <c r="D12" s="449">
        <v>20.033441551805279</v>
      </c>
      <c r="E12" s="449">
        <v>31.560404487548499</v>
      </c>
      <c r="F12" s="450">
        <v>25.630108864373423</v>
      </c>
      <c r="G12" s="450">
        <v>16.157448743900467</v>
      </c>
      <c r="H12" s="449">
        <v>21.719000000000001</v>
      </c>
      <c r="I12" s="449">
        <v>15.075926438782124</v>
      </c>
      <c r="J12" s="450">
        <v>17.523861252931436</v>
      </c>
      <c r="K12" s="1"/>
    </row>
    <row r="13" spans="1:11" ht="18" customHeight="1" x14ac:dyDescent="0.25">
      <c r="A13" s="88" t="s">
        <v>460</v>
      </c>
      <c r="B13" s="153">
        <f t="shared" ref="B13:J13" si="2">+B7/B5</f>
        <v>1567.8657409485425</v>
      </c>
      <c r="C13" s="153">
        <f t="shared" si="2"/>
        <v>1083.8181944492621</v>
      </c>
      <c r="D13" s="153">
        <f t="shared" si="2"/>
        <v>854.51291937829546</v>
      </c>
      <c r="E13" s="153">
        <f t="shared" si="2"/>
        <v>1028.1372853152691</v>
      </c>
      <c r="F13" s="153">
        <f t="shared" si="2"/>
        <v>2046.308173792286</v>
      </c>
      <c r="G13" s="153">
        <f t="shared" si="2"/>
        <v>1144.5633915507494</v>
      </c>
      <c r="H13" s="153">
        <f t="shared" si="2"/>
        <v>939.49010079240134</v>
      </c>
      <c r="I13" s="153">
        <f t="shared" si="2"/>
        <v>1196.1163820260342</v>
      </c>
      <c r="J13" s="153">
        <f t="shared" si="2"/>
        <v>1017.25669692016</v>
      </c>
      <c r="K13" s="1"/>
    </row>
    <row r="14" spans="1:11" ht="18" customHeight="1" x14ac:dyDescent="0.25">
      <c r="A14" s="88" t="s">
        <v>61</v>
      </c>
      <c r="B14" s="171">
        <f t="shared" ref="B14:J14" si="3">+B4/B5</f>
        <v>3.444468560871945</v>
      </c>
      <c r="C14" s="171">
        <f t="shared" si="3"/>
        <v>2.719643517777699</v>
      </c>
      <c r="D14" s="171">
        <f t="shared" si="3"/>
        <v>1.7471023670309904</v>
      </c>
      <c r="E14" s="171">
        <f t="shared" si="3"/>
        <v>0.86686079327287169</v>
      </c>
      <c r="F14" s="171">
        <f t="shared" si="3"/>
        <v>1.1243147074284723</v>
      </c>
      <c r="G14" s="171">
        <f t="shared" si="3"/>
        <v>2.7832034695858399</v>
      </c>
      <c r="H14" s="171">
        <f t="shared" si="3"/>
        <v>1.7259651618975009</v>
      </c>
      <c r="I14" s="171">
        <f t="shared" si="3"/>
        <v>3.1186188236929908</v>
      </c>
      <c r="J14" s="171">
        <f t="shared" si="3"/>
        <v>2.4992933879833421</v>
      </c>
      <c r="K14" s="1"/>
    </row>
    <row r="15" spans="1:11" ht="18" customHeight="1" x14ac:dyDescent="0.25">
      <c r="A15" s="88" t="s">
        <v>461</v>
      </c>
      <c r="B15" s="116">
        <f>+B11/2</f>
        <v>5</v>
      </c>
      <c r="C15" s="116">
        <f t="shared" ref="C15:J15" si="4">+C11/2</f>
        <v>6.5</v>
      </c>
      <c r="D15" s="116">
        <f t="shared" si="4"/>
        <v>6.5</v>
      </c>
      <c r="E15" s="116">
        <f t="shared" si="4"/>
        <v>6.5</v>
      </c>
      <c r="F15" s="116">
        <f t="shared" si="4"/>
        <v>6.5</v>
      </c>
      <c r="G15" s="116">
        <f t="shared" si="4"/>
        <v>6.5</v>
      </c>
      <c r="H15" s="116">
        <f t="shared" si="4"/>
        <v>6.5</v>
      </c>
      <c r="I15" s="116">
        <f t="shared" si="4"/>
        <v>6.5</v>
      </c>
      <c r="J15" s="116">
        <f t="shared" si="4"/>
        <v>6.5</v>
      </c>
      <c r="K15" s="1"/>
    </row>
    <row r="16" spans="1:11" ht="19.2" customHeight="1" x14ac:dyDescent="0.25">
      <c r="A16" s="88" t="s">
        <v>142</v>
      </c>
      <c r="B16" s="171">
        <f>+B7/B4/1.105</f>
        <v>411.93089685906807</v>
      </c>
      <c r="C16" s="171">
        <f t="shared" ref="C16:J16" si="5">+C7/C4/1.105</f>
        <v>360.64687845722449</v>
      </c>
      <c r="D16" s="171">
        <f t="shared" si="5"/>
        <v>442.62710288696047</v>
      </c>
      <c r="E16" s="171">
        <f t="shared" si="5"/>
        <v>1073.3453276538698</v>
      </c>
      <c r="F16" s="171">
        <f t="shared" si="5"/>
        <v>1647.1034208496419</v>
      </c>
      <c r="G16" s="171">
        <f t="shared" si="5"/>
        <v>372.16250467243299</v>
      </c>
      <c r="H16" s="171">
        <f t="shared" si="5"/>
        <v>492.60396707559391</v>
      </c>
      <c r="I16" s="171">
        <f t="shared" si="5"/>
        <v>347.09540520092605</v>
      </c>
      <c r="J16" s="171">
        <f t="shared" si="5"/>
        <v>368.34182824697024</v>
      </c>
    </row>
    <row r="17" spans="1:11" x14ac:dyDescent="0.25">
      <c r="A17" s="84"/>
      <c r="B17" s="84"/>
      <c r="C17" s="84"/>
      <c r="D17" s="84"/>
      <c r="E17" s="84"/>
      <c r="F17" s="84"/>
      <c r="G17" s="297"/>
      <c r="H17" s="84"/>
      <c r="I17" s="298"/>
      <c r="J17" s="84"/>
    </row>
    <row r="18" spans="1:11" x14ac:dyDescent="0.25">
      <c r="A18" s="84"/>
      <c r="B18" s="24">
        <v>2.8292902870255281</v>
      </c>
      <c r="C18" s="24">
        <v>2.9073597335127181</v>
      </c>
      <c r="D18" s="24">
        <v>2.9073597335127181</v>
      </c>
      <c r="E18" s="24">
        <v>3.0303552904761668</v>
      </c>
      <c r="F18" s="24">
        <v>2.9073597335127181</v>
      </c>
      <c r="G18" s="24">
        <v>2.9073597335127181</v>
      </c>
      <c r="H18" s="24">
        <v>2.9073597335127181</v>
      </c>
      <c r="I18" s="24">
        <v>2.8292902870255281</v>
      </c>
      <c r="J18" s="24">
        <v>2.8292902870255281</v>
      </c>
    </row>
    <row r="19" spans="1:11" x14ac:dyDescent="0.25">
      <c r="B19" s="484">
        <f>+B18*B6</f>
        <v>146.46292719168818</v>
      </c>
      <c r="C19" s="484">
        <f t="shared" ref="C19:J19" si="6">+C18*C6</f>
        <v>186.85843287264032</v>
      </c>
      <c r="D19" s="484">
        <f t="shared" si="6"/>
        <v>499.48935379564875</v>
      </c>
      <c r="E19" s="484">
        <f t="shared" si="6"/>
        <v>270.30769191047409</v>
      </c>
      <c r="F19" s="484">
        <f t="shared" si="6"/>
        <v>50.006583636765427</v>
      </c>
      <c r="G19" s="484">
        <f t="shared" si="6"/>
        <v>110.93728162623208</v>
      </c>
      <c r="H19" s="484">
        <f t="shared" si="6"/>
        <v>129.72362405768513</v>
      </c>
      <c r="I19" s="484">
        <f t="shared" si="6"/>
        <v>91.081383470783351</v>
      </c>
      <c r="J19" s="484">
        <f t="shared" si="6"/>
        <v>55.084578842369531</v>
      </c>
    </row>
    <row r="20" spans="1:11" x14ac:dyDescent="0.25">
      <c r="B20" s="76"/>
      <c r="C20" s="76"/>
      <c r="D20" s="76"/>
      <c r="E20" s="76"/>
      <c r="F20" s="76"/>
      <c r="G20" s="76"/>
      <c r="H20" s="76"/>
      <c r="I20" s="76"/>
      <c r="J20" s="76"/>
    </row>
    <row r="21" spans="1:11" x14ac:dyDescent="0.25">
      <c r="B21" s="74"/>
      <c r="C21" s="74"/>
      <c r="D21" s="74"/>
      <c r="E21" s="74"/>
      <c r="F21" s="74"/>
      <c r="G21" s="74"/>
      <c r="H21" s="74"/>
      <c r="I21" s="74"/>
      <c r="J21" s="74"/>
      <c r="K21" s="74"/>
    </row>
    <row r="22" spans="1:11" x14ac:dyDescent="0.25">
      <c r="B22" s="74"/>
      <c r="C22" s="74"/>
      <c r="D22" s="74"/>
      <c r="E22" s="74"/>
      <c r="F22" s="74"/>
      <c r="G22" s="74"/>
      <c r="H22" s="74"/>
      <c r="I22" s="74"/>
      <c r="J22" s="74"/>
    </row>
    <row r="23" spans="1:11" x14ac:dyDescent="0.25">
      <c r="B23" s="74"/>
      <c r="C23" s="74"/>
      <c r="D23" s="74"/>
      <c r="E23" s="74"/>
      <c r="F23" s="74"/>
      <c r="G23" s="74"/>
      <c r="H23" s="74"/>
      <c r="I23" s="74"/>
      <c r="J23" s="74"/>
    </row>
    <row r="24" spans="1:11" x14ac:dyDescent="0.25">
      <c r="B24" s="74"/>
      <c r="C24" s="74"/>
      <c r="D24" s="74"/>
      <c r="E24" s="74"/>
      <c r="F24" s="74"/>
      <c r="G24" s="74"/>
      <c r="H24" s="74"/>
      <c r="I24" s="74"/>
      <c r="J24" s="74"/>
    </row>
    <row r="25" spans="1:11" x14ac:dyDescent="0.25">
      <c r="B25" s="74"/>
      <c r="C25" s="74"/>
      <c r="D25" s="74"/>
      <c r="E25" s="74"/>
      <c r="F25" s="74"/>
      <c r="G25" s="74"/>
      <c r="H25" s="74"/>
      <c r="I25" s="74"/>
      <c r="J25" s="74"/>
    </row>
  </sheetData>
  <mergeCells count="1">
    <mergeCell ref="A2:XF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CEB6-4ECB-5E49-BF95-2E59570FBD67}">
  <dimension ref="A1:AF61"/>
  <sheetViews>
    <sheetView topLeftCell="A21" zoomScale="96" zoomScaleNormal="96" workbookViewId="0">
      <selection activeCell="D39" sqref="D39"/>
    </sheetView>
  </sheetViews>
  <sheetFormatPr baseColWidth="10" defaultRowHeight="13.2" x14ac:dyDescent="0.25"/>
  <cols>
    <col min="1" max="1" width="50.21875" style="40" customWidth="1"/>
    <col min="2" max="10" width="11.5546875" style="42"/>
    <col min="11" max="11" width="11.5546875" style="39"/>
  </cols>
  <sheetData>
    <row r="1" spans="1:11" ht="17.55" customHeight="1" x14ac:dyDescent="0.25">
      <c r="A1" s="226" t="s">
        <v>450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</row>
    <row r="2" spans="1:11" ht="17.55" customHeight="1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33" customHeight="1" x14ac:dyDescent="0.25">
      <c r="A3" s="41" t="s">
        <v>112</v>
      </c>
      <c r="B3" s="41" t="s">
        <v>113</v>
      </c>
      <c r="C3" s="41" t="s">
        <v>114</v>
      </c>
      <c r="D3" s="41" t="s">
        <v>115</v>
      </c>
      <c r="E3" s="41" t="s">
        <v>116</v>
      </c>
      <c r="F3" s="41" t="s">
        <v>117</v>
      </c>
      <c r="G3" s="41" t="s">
        <v>118</v>
      </c>
      <c r="H3" s="41" t="s">
        <v>119</v>
      </c>
      <c r="I3" s="41" t="s">
        <v>120</v>
      </c>
      <c r="J3" s="41" t="s">
        <v>121</v>
      </c>
      <c r="K3" s="38"/>
    </row>
    <row r="4" spans="1:11" s="23" customFormat="1" ht="11.55" customHeight="1" x14ac:dyDescent="0.25">
      <c r="A4" s="333" t="s">
        <v>83</v>
      </c>
      <c r="B4" s="565">
        <f>+'8- COSTO COMBUST'!B16</f>
        <v>0.63276149999999998</v>
      </c>
      <c r="C4" s="544">
        <f>+'8- COSTO COMBUST'!E16</f>
        <v>0.51478548800000001</v>
      </c>
      <c r="D4" s="544">
        <f>+'8- COSTO COMBUST'!F16</f>
        <v>0.48390863000000001</v>
      </c>
      <c r="E4" s="544">
        <f>+'8- COSTO COMBUST'!G16</f>
        <v>0.37991354999999999</v>
      </c>
      <c r="F4" s="544">
        <f>+'8- COSTO COMBUST'!H16</f>
        <v>0.33488895000000002</v>
      </c>
      <c r="G4" s="544">
        <f>+'8- COSTO COMBUST'!I16</f>
        <v>0.42428740500000001</v>
      </c>
      <c r="H4" s="544">
        <f>+'8- COSTO COMBUST'!J16</f>
        <v>0.43341033000000001</v>
      </c>
      <c r="I4" s="544">
        <f>+'8- COSTO COMBUST'!K16</f>
        <v>0.41255866000000002</v>
      </c>
      <c r="J4" s="544">
        <f>+'8- COSTO COMBUST'!L16</f>
        <v>0.4125586707978296</v>
      </c>
      <c r="K4" s="90"/>
    </row>
    <row r="5" spans="1:11" s="23" customFormat="1" ht="11.55" customHeight="1" x14ac:dyDescent="0.25">
      <c r="A5" s="121" t="s">
        <v>84</v>
      </c>
      <c r="B5" s="125">
        <f t="shared" ref="B5:J5" si="0">16.5/20000+1/600</f>
        <v>2.4916666666666668E-3</v>
      </c>
      <c r="C5" s="125">
        <f t="shared" si="0"/>
        <v>2.4916666666666668E-3</v>
      </c>
      <c r="D5" s="125">
        <f t="shared" si="0"/>
        <v>2.4916666666666668E-3</v>
      </c>
      <c r="E5" s="125">
        <f t="shared" si="0"/>
        <v>2.4916666666666668E-3</v>
      </c>
      <c r="F5" s="125">
        <f t="shared" si="0"/>
        <v>2.4916666666666668E-3</v>
      </c>
      <c r="G5" s="125">
        <f t="shared" si="0"/>
        <v>2.4916666666666668E-3</v>
      </c>
      <c r="H5" s="125">
        <f t="shared" si="0"/>
        <v>2.4916666666666668E-3</v>
      </c>
      <c r="I5" s="125">
        <f t="shared" si="0"/>
        <v>2.4916666666666668E-3</v>
      </c>
      <c r="J5" s="125">
        <f t="shared" si="0"/>
        <v>2.4916666666666668E-3</v>
      </c>
      <c r="K5" s="90"/>
    </row>
    <row r="6" spans="1:11" s="23" customFormat="1" ht="11.55" customHeight="1" x14ac:dyDescent="0.25">
      <c r="A6" s="333" t="s">
        <v>85</v>
      </c>
      <c r="B6" s="125">
        <f>0.925/1000</f>
        <v>9.2500000000000004E-4</v>
      </c>
      <c r="C6" s="125">
        <f>+B6</f>
        <v>9.2500000000000004E-4</v>
      </c>
      <c r="D6" s="125">
        <f t="shared" ref="D6:J6" si="1">+C6</f>
        <v>9.2500000000000004E-4</v>
      </c>
      <c r="E6" s="125">
        <f t="shared" si="1"/>
        <v>9.2500000000000004E-4</v>
      </c>
      <c r="F6" s="125">
        <f t="shared" si="1"/>
        <v>9.2500000000000004E-4</v>
      </c>
      <c r="G6" s="125">
        <f t="shared" si="1"/>
        <v>9.2500000000000004E-4</v>
      </c>
      <c r="H6" s="125">
        <f t="shared" si="1"/>
        <v>9.2500000000000004E-4</v>
      </c>
      <c r="I6" s="125">
        <f t="shared" si="1"/>
        <v>9.2500000000000004E-4</v>
      </c>
      <c r="J6" s="125">
        <f t="shared" si="1"/>
        <v>9.2500000000000004E-4</v>
      </c>
      <c r="K6" s="90"/>
    </row>
    <row r="7" spans="1:11" s="23" customFormat="1" ht="11.55" customHeight="1" x14ac:dyDescent="0.25">
      <c r="A7" s="333" t="s">
        <v>86</v>
      </c>
      <c r="B7" s="125">
        <f>16/20000</f>
        <v>8.0000000000000004E-4</v>
      </c>
      <c r="C7" s="125">
        <f>+B7</f>
        <v>8.0000000000000004E-4</v>
      </c>
      <c r="D7" s="125">
        <f t="shared" ref="D7:J7" si="2">+C7</f>
        <v>8.0000000000000004E-4</v>
      </c>
      <c r="E7" s="125">
        <f t="shared" si="2"/>
        <v>8.0000000000000004E-4</v>
      </c>
      <c r="F7" s="125">
        <f t="shared" si="2"/>
        <v>8.0000000000000004E-4</v>
      </c>
      <c r="G7" s="125">
        <f t="shared" si="2"/>
        <v>8.0000000000000004E-4</v>
      </c>
      <c r="H7" s="125">
        <f t="shared" si="2"/>
        <v>8.0000000000000004E-4</v>
      </c>
      <c r="I7" s="125">
        <f t="shared" si="2"/>
        <v>8.0000000000000004E-4</v>
      </c>
      <c r="J7" s="125">
        <f t="shared" si="2"/>
        <v>8.0000000000000004E-4</v>
      </c>
      <c r="K7" s="90"/>
    </row>
    <row r="8" spans="1:11" s="23" customFormat="1" ht="11.55" customHeight="1" x14ac:dyDescent="0.25">
      <c r="A8" s="333" t="s">
        <v>87</v>
      </c>
      <c r="B8" s="123">
        <v>6</v>
      </c>
      <c r="C8" s="123">
        <v>6</v>
      </c>
      <c r="D8" s="123">
        <v>6</v>
      </c>
      <c r="E8" s="123">
        <v>6</v>
      </c>
      <c r="F8" s="123">
        <v>6</v>
      </c>
      <c r="G8" s="123">
        <v>6</v>
      </c>
      <c r="H8" s="123">
        <v>6</v>
      </c>
      <c r="I8" s="123">
        <v>6</v>
      </c>
      <c r="J8" s="123">
        <v>6</v>
      </c>
      <c r="K8" s="90"/>
    </row>
    <row r="9" spans="1:11" s="23" customFormat="1" ht="11.55" customHeight="1" x14ac:dyDescent="0.25">
      <c r="A9" s="333" t="s">
        <v>88</v>
      </c>
      <c r="B9" s="123">
        <v>12</v>
      </c>
      <c r="C9" s="123">
        <v>12</v>
      </c>
      <c r="D9" s="123">
        <v>12</v>
      </c>
      <c r="E9" s="123">
        <v>12</v>
      </c>
      <c r="F9" s="123">
        <v>12</v>
      </c>
      <c r="G9" s="123">
        <v>12</v>
      </c>
      <c r="H9" s="123">
        <v>12</v>
      </c>
      <c r="I9" s="123">
        <v>12</v>
      </c>
      <c r="J9" s="123">
        <v>12</v>
      </c>
      <c r="K9" s="90"/>
    </row>
    <row r="10" spans="1:11" s="23" customFormat="1" ht="11.55" customHeight="1" x14ac:dyDescent="0.25">
      <c r="A10" s="333" t="s">
        <v>89</v>
      </c>
      <c r="B10" s="123">
        <v>12</v>
      </c>
      <c r="C10" s="123">
        <v>12</v>
      </c>
      <c r="D10" s="123">
        <v>12</v>
      </c>
      <c r="E10" s="123">
        <v>12</v>
      </c>
      <c r="F10" s="123">
        <v>12</v>
      </c>
      <c r="G10" s="123">
        <v>12</v>
      </c>
      <c r="H10" s="123">
        <v>12</v>
      </c>
      <c r="I10" s="123">
        <v>12</v>
      </c>
      <c r="J10" s="123">
        <v>12</v>
      </c>
      <c r="K10" s="90"/>
    </row>
    <row r="11" spans="1:11" s="23" customFormat="1" ht="11.55" customHeight="1" x14ac:dyDescent="0.25">
      <c r="A11" s="333" t="s">
        <v>90</v>
      </c>
      <c r="B11" s="127">
        <v>60000</v>
      </c>
      <c r="C11" s="127">
        <f>+B11</f>
        <v>60000</v>
      </c>
      <c r="D11" s="127">
        <f t="shared" ref="D11:J11" si="3">+C11</f>
        <v>60000</v>
      </c>
      <c r="E11" s="127">
        <f t="shared" si="3"/>
        <v>60000</v>
      </c>
      <c r="F11" s="127">
        <f t="shared" si="3"/>
        <v>60000</v>
      </c>
      <c r="G11" s="127">
        <f t="shared" si="3"/>
        <v>60000</v>
      </c>
      <c r="H11" s="127">
        <f t="shared" si="3"/>
        <v>60000</v>
      </c>
      <c r="I11" s="127">
        <f t="shared" si="3"/>
        <v>60000</v>
      </c>
      <c r="J11" s="127">
        <f t="shared" si="3"/>
        <v>60000</v>
      </c>
      <c r="K11" s="128"/>
    </row>
    <row r="12" spans="1:11" s="23" customFormat="1" ht="11.55" customHeight="1" x14ac:dyDescent="0.25">
      <c r="A12" s="334" t="s">
        <v>91</v>
      </c>
      <c r="B12" s="129">
        <f>+B11/2</f>
        <v>30000</v>
      </c>
      <c r="C12" s="129">
        <f t="shared" ref="C12:J12" si="4">+C11/2</f>
        <v>30000</v>
      </c>
      <c r="D12" s="129">
        <f t="shared" si="4"/>
        <v>30000</v>
      </c>
      <c r="E12" s="129">
        <f t="shared" si="4"/>
        <v>30000</v>
      </c>
      <c r="F12" s="129">
        <f t="shared" si="4"/>
        <v>30000</v>
      </c>
      <c r="G12" s="129">
        <f t="shared" si="4"/>
        <v>30000</v>
      </c>
      <c r="H12" s="129">
        <f t="shared" si="4"/>
        <v>30000</v>
      </c>
      <c r="I12" s="129">
        <f t="shared" si="4"/>
        <v>30000</v>
      </c>
      <c r="J12" s="129">
        <f t="shared" si="4"/>
        <v>30000</v>
      </c>
      <c r="K12" s="128"/>
    </row>
    <row r="13" spans="1:11" s="23" customFormat="1" ht="11.55" customHeight="1" x14ac:dyDescent="0.25">
      <c r="A13" s="334" t="s">
        <v>92</v>
      </c>
      <c r="B13" s="129">
        <f>+B14*B12+B11</f>
        <v>120000</v>
      </c>
      <c r="C13" s="129">
        <f t="shared" ref="C13:J13" si="5">+C14*C12+C11</f>
        <v>120000</v>
      </c>
      <c r="D13" s="129">
        <f t="shared" si="5"/>
        <v>120000</v>
      </c>
      <c r="E13" s="129">
        <f t="shared" si="5"/>
        <v>120000</v>
      </c>
      <c r="F13" s="129">
        <f t="shared" si="5"/>
        <v>120000</v>
      </c>
      <c r="G13" s="129">
        <f t="shared" si="5"/>
        <v>120000</v>
      </c>
      <c r="H13" s="129">
        <f t="shared" si="5"/>
        <v>120000</v>
      </c>
      <c r="I13" s="129">
        <f t="shared" si="5"/>
        <v>120000</v>
      </c>
      <c r="J13" s="129">
        <f t="shared" si="5"/>
        <v>120000</v>
      </c>
      <c r="K13" s="128"/>
    </row>
    <row r="14" spans="1:11" s="23" customFormat="1" ht="11.55" customHeight="1" x14ac:dyDescent="0.25">
      <c r="A14" s="334" t="s">
        <v>93</v>
      </c>
      <c r="B14" s="451">
        <v>2</v>
      </c>
      <c r="C14" s="451">
        <v>2</v>
      </c>
      <c r="D14" s="451">
        <v>2</v>
      </c>
      <c r="E14" s="451">
        <v>2</v>
      </c>
      <c r="F14" s="451">
        <v>2</v>
      </c>
      <c r="G14" s="451">
        <v>2</v>
      </c>
      <c r="H14" s="451">
        <v>2</v>
      </c>
      <c r="I14" s="451">
        <v>2</v>
      </c>
      <c r="J14" s="451">
        <v>2</v>
      </c>
      <c r="K14" s="128"/>
    </row>
    <row r="15" spans="1:11" s="23" customFormat="1" ht="11.55" customHeight="1" x14ac:dyDescent="0.25">
      <c r="A15" s="121" t="s">
        <v>94</v>
      </c>
      <c r="B15" s="130">
        <v>0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0">
        <v>0</v>
      </c>
      <c r="I15" s="130">
        <v>0</v>
      </c>
      <c r="J15" s="130">
        <v>0</v>
      </c>
      <c r="K15" s="128"/>
    </row>
    <row r="16" spans="1:11" s="23" customFormat="1" ht="11.55" customHeight="1" x14ac:dyDescent="0.25">
      <c r="A16" s="121" t="s">
        <v>95</v>
      </c>
      <c r="B16" s="130">
        <v>2</v>
      </c>
      <c r="C16" s="130">
        <v>2</v>
      </c>
      <c r="D16" s="130">
        <v>2</v>
      </c>
      <c r="E16" s="130">
        <v>2</v>
      </c>
      <c r="F16" s="130">
        <v>2</v>
      </c>
      <c r="G16" s="130">
        <v>2</v>
      </c>
      <c r="H16" s="130">
        <v>2</v>
      </c>
      <c r="I16" s="130">
        <v>2</v>
      </c>
      <c r="J16" s="130">
        <v>2</v>
      </c>
      <c r="K16" s="128"/>
    </row>
    <row r="17" spans="1:32" s="23" customFormat="1" ht="11.55" customHeight="1" x14ac:dyDescent="0.25">
      <c r="A17" s="121" t="s">
        <v>96</v>
      </c>
      <c r="B17" s="130">
        <v>8</v>
      </c>
      <c r="C17" s="130">
        <v>8</v>
      </c>
      <c r="D17" s="130">
        <v>8</v>
      </c>
      <c r="E17" s="130">
        <v>8</v>
      </c>
      <c r="F17" s="130">
        <v>8</v>
      </c>
      <c r="G17" s="130">
        <v>8</v>
      </c>
      <c r="H17" s="130">
        <v>8</v>
      </c>
      <c r="I17" s="130">
        <v>8</v>
      </c>
      <c r="J17" s="130">
        <v>8</v>
      </c>
      <c r="K17" s="128"/>
    </row>
    <row r="18" spans="1:32" s="23" customFormat="1" ht="11.55" customHeight="1" x14ac:dyDescent="0.25">
      <c r="A18" s="121" t="s">
        <v>97</v>
      </c>
      <c r="B18" s="130">
        <v>1</v>
      </c>
      <c r="C18" s="130">
        <v>1</v>
      </c>
      <c r="D18" s="130">
        <v>1</v>
      </c>
      <c r="E18" s="130">
        <v>1</v>
      </c>
      <c r="F18" s="130">
        <v>1</v>
      </c>
      <c r="G18" s="130">
        <v>1</v>
      </c>
      <c r="H18" s="130">
        <v>1</v>
      </c>
      <c r="I18" s="130">
        <v>1</v>
      </c>
      <c r="J18" s="130">
        <v>1</v>
      </c>
      <c r="K18" s="128"/>
      <c r="AF18" s="369"/>
    </row>
    <row r="19" spans="1:32" s="23" customFormat="1" ht="11.55" customHeight="1" x14ac:dyDescent="0.25">
      <c r="A19" s="121" t="s">
        <v>98</v>
      </c>
      <c r="B19" s="130">
        <v>1</v>
      </c>
      <c r="C19" s="130">
        <v>1</v>
      </c>
      <c r="D19" s="130">
        <v>1</v>
      </c>
      <c r="E19" s="130">
        <v>1</v>
      </c>
      <c r="F19" s="130">
        <v>1</v>
      </c>
      <c r="G19" s="130">
        <v>1</v>
      </c>
      <c r="H19" s="130">
        <v>1</v>
      </c>
      <c r="I19" s="130">
        <v>1</v>
      </c>
      <c r="J19" s="130">
        <v>1</v>
      </c>
      <c r="K19" s="128"/>
    </row>
    <row r="20" spans="1:32" s="23" customFormat="1" ht="11.55" customHeight="1" x14ac:dyDescent="0.25">
      <c r="A20" s="121" t="s">
        <v>99</v>
      </c>
      <c r="B20" s="130">
        <v>2</v>
      </c>
      <c r="C20" s="130">
        <v>2</v>
      </c>
      <c r="D20" s="130">
        <v>2</v>
      </c>
      <c r="E20" s="130">
        <v>2</v>
      </c>
      <c r="F20" s="130">
        <v>2</v>
      </c>
      <c r="G20" s="130">
        <v>2</v>
      </c>
      <c r="H20" s="130">
        <v>2</v>
      </c>
      <c r="I20" s="130">
        <v>2</v>
      </c>
      <c r="J20" s="130">
        <v>2</v>
      </c>
      <c r="K20" s="128"/>
    </row>
    <row r="21" spans="1:32" s="23" customFormat="1" ht="11.55" customHeight="1" x14ac:dyDescent="0.25">
      <c r="A21" s="121" t="s">
        <v>100</v>
      </c>
      <c r="B21" s="122">
        <v>0.5</v>
      </c>
      <c r="C21" s="122">
        <v>0.5</v>
      </c>
      <c r="D21" s="122">
        <v>0.5</v>
      </c>
      <c r="E21" s="122">
        <v>0.5</v>
      </c>
      <c r="F21" s="122">
        <v>0.5</v>
      </c>
      <c r="G21" s="122">
        <v>0.5</v>
      </c>
      <c r="H21" s="122">
        <v>0.5</v>
      </c>
      <c r="I21" s="122">
        <v>0.5</v>
      </c>
      <c r="J21" s="122">
        <v>0.5</v>
      </c>
      <c r="K21" s="90"/>
    </row>
    <row r="22" spans="1:32" s="23" customFormat="1" ht="11.55" customHeight="1" x14ac:dyDescent="0.25">
      <c r="A22" s="121" t="s">
        <v>101</v>
      </c>
      <c r="B22" s="122">
        <v>0.75</v>
      </c>
      <c r="C22" s="122">
        <v>0.75</v>
      </c>
      <c r="D22" s="122">
        <v>0.75</v>
      </c>
      <c r="E22" s="122">
        <v>0.75</v>
      </c>
      <c r="F22" s="122">
        <v>0.75</v>
      </c>
      <c r="G22" s="122">
        <v>0.75</v>
      </c>
      <c r="H22" s="122">
        <v>0.75</v>
      </c>
      <c r="I22" s="122">
        <v>0.75</v>
      </c>
      <c r="J22" s="122">
        <v>0.75</v>
      </c>
      <c r="K22" s="90"/>
    </row>
    <row r="23" spans="1:32" s="23" customFormat="1" ht="11.55" customHeight="1" x14ac:dyDescent="0.25">
      <c r="A23" s="121" t="s">
        <v>102</v>
      </c>
      <c r="B23" s="127">
        <v>10000</v>
      </c>
      <c r="C23" s="127">
        <v>10000</v>
      </c>
      <c r="D23" s="127">
        <v>10000</v>
      </c>
      <c r="E23" s="127">
        <v>10000</v>
      </c>
      <c r="F23" s="127">
        <v>10000</v>
      </c>
      <c r="G23" s="127">
        <v>10000</v>
      </c>
      <c r="H23" s="127">
        <v>10000</v>
      </c>
      <c r="I23" s="127">
        <v>10000</v>
      </c>
      <c r="J23" s="127">
        <v>10000</v>
      </c>
      <c r="K23" s="90"/>
    </row>
    <row r="24" spans="1:32" s="23" customFormat="1" ht="11.55" customHeight="1" x14ac:dyDescent="0.25">
      <c r="A24" s="121" t="s">
        <v>103</v>
      </c>
      <c r="B24" s="123">
        <v>0.08</v>
      </c>
      <c r="C24" s="123">
        <v>0.08</v>
      </c>
      <c r="D24" s="123">
        <v>0.08</v>
      </c>
      <c r="E24" s="123">
        <v>0.16</v>
      </c>
      <c r="F24" s="123">
        <v>0.08</v>
      </c>
      <c r="G24" s="123">
        <f t="shared" ref="G24:J25" si="6">+F24</f>
        <v>0.08</v>
      </c>
      <c r="H24" s="123">
        <f t="shared" si="6"/>
        <v>0.08</v>
      </c>
      <c r="I24" s="123">
        <f t="shared" si="6"/>
        <v>0.08</v>
      </c>
      <c r="J24" s="123">
        <f t="shared" si="6"/>
        <v>0.08</v>
      </c>
      <c r="K24" s="90"/>
    </row>
    <row r="25" spans="1:32" s="23" customFormat="1" ht="11.55" customHeight="1" x14ac:dyDescent="0.25">
      <c r="A25" s="121" t="s">
        <v>104</v>
      </c>
      <c r="B25" s="123">
        <v>0.08</v>
      </c>
      <c r="C25" s="123">
        <v>0.08</v>
      </c>
      <c r="D25" s="123">
        <v>0.08</v>
      </c>
      <c r="E25" s="123">
        <v>0.16</v>
      </c>
      <c r="F25" s="123">
        <v>0.08</v>
      </c>
      <c r="G25" s="123">
        <f t="shared" si="6"/>
        <v>0.08</v>
      </c>
      <c r="H25" s="123">
        <f t="shared" si="6"/>
        <v>0.08</v>
      </c>
      <c r="I25" s="123">
        <f t="shared" si="6"/>
        <v>0.08</v>
      </c>
      <c r="J25" s="123">
        <f t="shared" si="6"/>
        <v>0.08</v>
      </c>
      <c r="K25" s="90"/>
    </row>
    <row r="26" spans="1:32" s="23" customFormat="1" ht="11.55" customHeight="1" x14ac:dyDescent="0.25">
      <c r="A26" s="121" t="s">
        <v>105</v>
      </c>
      <c r="B26" s="254">
        <v>0.58287733698130395</v>
      </c>
      <c r="C26" s="122">
        <v>0.58287733698130395</v>
      </c>
      <c r="D26" s="122">
        <v>0.58287733698130395</v>
      </c>
      <c r="E26" s="122">
        <v>0.58287733698130395</v>
      </c>
      <c r="F26" s="122">
        <v>0.58287733698130395</v>
      </c>
      <c r="G26" s="122">
        <v>0.58287733698130395</v>
      </c>
      <c r="H26" s="122">
        <v>0.58287733698130395</v>
      </c>
      <c r="I26" s="122">
        <v>0.58287733698130395</v>
      </c>
      <c r="J26" s="122">
        <v>0.58287733698130395</v>
      </c>
      <c r="K26" s="90"/>
    </row>
    <row r="27" spans="1:32" s="23" customFormat="1" ht="11.55" customHeight="1" x14ac:dyDescent="0.25">
      <c r="A27" s="121" t="s">
        <v>106</v>
      </c>
      <c r="B27" s="125">
        <f>1-B26</f>
        <v>0.41712266301869605</v>
      </c>
      <c r="C27" s="131">
        <f t="shared" ref="C27:J27" si="7">1-C26</f>
        <v>0.41712266301869605</v>
      </c>
      <c r="D27" s="131">
        <f t="shared" si="7"/>
        <v>0.41712266301869605</v>
      </c>
      <c r="E27" s="131">
        <f t="shared" si="7"/>
        <v>0.41712266301869605</v>
      </c>
      <c r="F27" s="131">
        <f t="shared" si="7"/>
        <v>0.41712266301869605</v>
      </c>
      <c r="G27" s="131">
        <f t="shared" si="7"/>
        <v>0.41712266301869605</v>
      </c>
      <c r="H27" s="131">
        <f t="shared" si="7"/>
        <v>0.41712266301869605</v>
      </c>
      <c r="I27" s="131">
        <f t="shared" si="7"/>
        <v>0.41712266301869605</v>
      </c>
      <c r="J27" s="131">
        <f t="shared" si="7"/>
        <v>0.41712266301869605</v>
      </c>
      <c r="K27" s="90"/>
    </row>
    <row r="28" spans="1:32" s="23" customFormat="1" ht="11.55" customHeight="1" x14ac:dyDescent="0.25">
      <c r="A28" s="121" t="s">
        <v>107</v>
      </c>
      <c r="B28" s="123">
        <v>2</v>
      </c>
      <c r="C28" s="123">
        <v>2</v>
      </c>
      <c r="D28" s="123">
        <v>2</v>
      </c>
      <c r="E28" s="123">
        <v>2</v>
      </c>
      <c r="F28" s="123">
        <v>2</v>
      </c>
      <c r="G28" s="123">
        <v>2</v>
      </c>
      <c r="H28" s="123">
        <v>2</v>
      </c>
      <c r="I28" s="123">
        <v>2</v>
      </c>
      <c r="J28" s="123">
        <v>2</v>
      </c>
      <c r="K28" s="90"/>
    </row>
    <row r="29" spans="1:32" s="23" customFormat="1" ht="11.55" customHeight="1" x14ac:dyDescent="0.25">
      <c r="A29" s="121" t="s">
        <v>108</v>
      </c>
      <c r="B29" s="123">
        <v>40</v>
      </c>
      <c r="C29" s="123">
        <v>40</v>
      </c>
      <c r="D29" s="123">
        <v>40</v>
      </c>
      <c r="E29" s="123">
        <v>44</v>
      </c>
      <c r="F29" s="123">
        <v>40</v>
      </c>
      <c r="G29" s="123">
        <v>40</v>
      </c>
      <c r="H29" s="123">
        <v>40</v>
      </c>
      <c r="I29" s="123">
        <v>40</v>
      </c>
      <c r="J29" s="123">
        <v>40</v>
      </c>
      <c r="K29" s="90"/>
    </row>
    <row r="30" spans="1:32" s="23" customFormat="1" ht="11.55" customHeight="1" x14ac:dyDescent="0.25">
      <c r="A30" s="121" t="s">
        <v>109</v>
      </c>
      <c r="B30" s="123">
        <v>1.8</v>
      </c>
      <c r="C30" s="123">
        <v>1.8</v>
      </c>
      <c r="D30" s="123">
        <v>1.8</v>
      </c>
      <c r="E30" s="123">
        <v>1.98</v>
      </c>
      <c r="F30" s="123">
        <v>1.8</v>
      </c>
      <c r="G30" s="123">
        <v>1.8</v>
      </c>
      <c r="H30" s="123">
        <v>1.8</v>
      </c>
      <c r="I30" s="123">
        <v>1.8</v>
      </c>
      <c r="J30" s="123">
        <v>1.8</v>
      </c>
      <c r="K30" s="90"/>
    </row>
    <row r="31" spans="1:32" s="23" customFormat="1" ht="11.55" customHeight="1" x14ac:dyDescent="0.25">
      <c r="A31" s="121" t="s">
        <v>110</v>
      </c>
      <c r="B31" s="123">
        <v>3</v>
      </c>
      <c r="C31" s="123">
        <v>3</v>
      </c>
      <c r="D31" s="123">
        <v>3</v>
      </c>
      <c r="E31" s="123">
        <v>3</v>
      </c>
      <c r="F31" s="123">
        <v>3</v>
      </c>
      <c r="G31" s="123">
        <v>3</v>
      </c>
      <c r="H31" s="123">
        <v>3</v>
      </c>
      <c r="I31" s="123">
        <v>3</v>
      </c>
      <c r="J31" s="123">
        <v>3</v>
      </c>
      <c r="K31" s="90"/>
    </row>
    <row r="32" spans="1:32" s="23" customFormat="1" ht="11.55" customHeight="1" x14ac:dyDescent="0.25">
      <c r="A32" s="121" t="s">
        <v>111</v>
      </c>
      <c r="B32" s="132">
        <f>SUM(B29:B31)</f>
        <v>44.8</v>
      </c>
      <c r="C32" s="132">
        <f t="shared" ref="C32:J32" si="8">SUM(C29:C31)</f>
        <v>44.8</v>
      </c>
      <c r="D32" s="132">
        <f t="shared" si="8"/>
        <v>44.8</v>
      </c>
      <c r="E32" s="132">
        <f t="shared" si="8"/>
        <v>48.98</v>
      </c>
      <c r="F32" s="132">
        <f t="shared" si="8"/>
        <v>44.8</v>
      </c>
      <c r="G32" s="132">
        <f t="shared" si="8"/>
        <v>44.8</v>
      </c>
      <c r="H32" s="132">
        <f t="shared" si="8"/>
        <v>44.8</v>
      </c>
      <c r="I32" s="132">
        <f t="shared" si="8"/>
        <v>44.8</v>
      </c>
      <c r="J32" s="132">
        <f t="shared" si="8"/>
        <v>44.8</v>
      </c>
      <c r="K32" s="90"/>
    </row>
    <row r="33" spans="1:11" s="23" customFormat="1" ht="11.55" customHeight="1" x14ac:dyDescent="0.25">
      <c r="A33" s="119" t="s">
        <v>64</v>
      </c>
      <c r="B33" s="120">
        <f>+B29*'2- EMP. REP'!B$6</f>
        <v>2070.6666666666665</v>
      </c>
      <c r="C33" s="120">
        <f>+C29*'2- EMP. REP'!C$6</f>
        <v>2570.833333333333</v>
      </c>
      <c r="D33" s="120">
        <f>+D29*'2- EMP. REP'!D$6</f>
        <v>6872.0681247402126</v>
      </c>
      <c r="E33" s="120">
        <f>+E29*'2- EMP. REP'!E$6</f>
        <v>3924.8</v>
      </c>
      <c r="F33" s="120">
        <f>+F29*'2- EMP. REP'!F$6</f>
        <v>687.99994799882131</v>
      </c>
      <c r="G33" s="120">
        <f>+G29*'2- EMP. REP'!G$6</f>
        <v>1526.2959082424368</v>
      </c>
      <c r="H33" s="120">
        <f>+H29*'2- EMP. REP'!H$6</f>
        <v>1784.7619276332343</v>
      </c>
      <c r="I33" s="120">
        <f>+I29*'2- EMP. REP'!I$6</f>
        <v>1287.6923076923076</v>
      </c>
      <c r="J33" s="120">
        <f>+J29*'2- EMP. REP'!J$6</f>
        <v>778.7759226400301</v>
      </c>
      <c r="K33" s="90"/>
    </row>
    <row r="34" spans="1:11" s="23" customFormat="1" ht="11.55" customHeight="1" x14ac:dyDescent="0.25">
      <c r="A34" s="121" t="s">
        <v>65</v>
      </c>
      <c r="B34" s="120">
        <f>+B30*'2- EMP. REP'!B$6</f>
        <v>93.18</v>
      </c>
      <c r="C34" s="120">
        <f>+C30*'2- EMP. REP'!C$6</f>
        <v>115.6875</v>
      </c>
      <c r="D34" s="120">
        <f>+D30*'2- EMP. REP'!D$6</f>
        <v>309.24306561330957</v>
      </c>
      <c r="E34" s="120">
        <f>+E30*'2- EMP. REP'!E$6</f>
        <v>176.61600000000001</v>
      </c>
      <c r="F34" s="120">
        <f>+F30*'2- EMP. REP'!F$6</f>
        <v>30.959997659946957</v>
      </c>
      <c r="G34" s="120">
        <f>+G30*'2- EMP. REP'!G$6</f>
        <v>68.683315870909652</v>
      </c>
      <c r="H34" s="120">
        <f>+H30*'2- EMP. REP'!H$6</f>
        <v>80.314286743495543</v>
      </c>
      <c r="I34" s="120">
        <f>+I30*'2- EMP. REP'!I$6</f>
        <v>57.946153846153848</v>
      </c>
      <c r="J34" s="120">
        <f>+J30*'2- EMP. REP'!J$6</f>
        <v>35.044916518801358</v>
      </c>
      <c r="K34" s="90"/>
    </row>
    <row r="35" spans="1:11" s="23" customFormat="1" ht="11.55" customHeight="1" x14ac:dyDescent="0.25">
      <c r="A35" s="121" t="s">
        <v>66</v>
      </c>
      <c r="B35" s="120">
        <f>+B31*'2- EMP. REP'!B$6</f>
        <v>155.30000000000001</v>
      </c>
      <c r="C35" s="120">
        <f>+C31*'2- EMP. REP'!C$6</f>
        <v>192.8125</v>
      </c>
      <c r="D35" s="120">
        <f>+D31*'2- EMP. REP'!D$6</f>
        <v>515.40510935551595</v>
      </c>
      <c r="E35" s="120">
        <f>+E31*'2- EMP. REP'!E$6</f>
        <v>267.60000000000002</v>
      </c>
      <c r="F35" s="120">
        <f>+F31*'2- EMP. REP'!F$6</f>
        <v>51.599996099911593</v>
      </c>
      <c r="G35" s="120">
        <f>+G31*'2- EMP. REP'!G$6</f>
        <v>114.47219311818276</v>
      </c>
      <c r="H35" s="120">
        <f>+H31*'2- EMP. REP'!H$6</f>
        <v>133.85714457249259</v>
      </c>
      <c r="I35" s="120">
        <f>+I31*'2- EMP. REP'!I$6</f>
        <v>96.57692307692308</v>
      </c>
      <c r="J35" s="120">
        <f>+J31*'2- EMP. REP'!J$6</f>
        <v>58.408194198002263</v>
      </c>
      <c r="K35" s="90"/>
    </row>
    <row r="36" spans="1:11" s="23" customFormat="1" ht="11.55" customHeight="1" x14ac:dyDescent="0.25">
      <c r="A36" s="121" t="s">
        <v>67</v>
      </c>
      <c r="B36" s="120">
        <f>+B32*'2- EMP. REP'!B$6</f>
        <v>2319.1466666666665</v>
      </c>
      <c r="C36" s="120">
        <f>+C32*'2- EMP. REP'!C$6</f>
        <v>2879.333333333333</v>
      </c>
      <c r="D36" s="120">
        <f>+D32*'2- EMP. REP'!D$6</f>
        <v>7696.7162997090372</v>
      </c>
      <c r="E36" s="120">
        <f>+E32*'2- EMP. REP'!E$6</f>
        <v>4369.0159999999996</v>
      </c>
      <c r="F36" s="120">
        <f>+F32*'2- EMP. REP'!F$6</f>
        <v>770.55994175867977</v>
      </c>
      <c r="G36" s="120">
        <f>+G32*'2- EMP. REP'!G$6</f>
        <v>1709.4514172315291</v>
      </c>
      <c r="H36" s="120">
        <f>+H32*'2- EMP. REP'!H$6</f>
        <v>1998.9333589492223</v>
      </c>
      <c r="I36" s="120">
        <f>+I32*'2- EMP. REP'!I$6</f>
        <v>1442.2153846153847</v>
      </c>
      <c r="J36" s="120">
        <f>+J32*'2- EMP. REP'!J$6</f>
        <v>872.22903335683372</v>
      </c>
      <c r="K36" s="90"/>
    </row>
    <row r="37" spans="1:11" s="23" customFormat="1" ht="11.55" customHeight="1" x14ac:dyDescent="0.25">
      <c r="A37" s="121" t="s">
        <v>68</v>
      </c>
      <c r="B37" s="254">
        <v>1.4999999999999999E-2</v>
      </c>
      <c r="C37" s="254">
        <v>1.4999999999999999E-2</v>
      </c>
      <c r="D37" s="254">
        <v>1.4999999999999999E-2</v>
      </c>
      <c r="E37" s="254">
        <v>1.4999999999999999E-2</v>
      </c>
      <c r="F37" s="254">
        <v>1.4999999999999999E-2</v>
      </c>
      <c r="G37" s="254">
        <v>1.4999999999999999E-2</v>
      </c>
      <c r="H37" s="254">
        <v>1.4999999999999999E-2</v>
      </c>
      <c r="I37" s="254">
        <v>1.4999999999999999E-2</v>
      </c>
      <c r="J37" s="254">
        <v>1.4999999999999999E-2</v>
      </c>
      <c r="K37" s="90"/>
    </row>
    <row r="38" spans="1:11" s="23" customFormat="1" ht="11.55" customHeight="1" x14ac:dyDescent="0.25">
      <c r="A38" s="121" t="s">
        <v>69</v>
      </c>
      <c r="B38" s="254">
        <v>2.5000000000000001E-2</v>
      </c>
      <c r="C38" s="254">
        <v>2.5000000000000001E-2</v>
      </c>
      <c r="D38" s="254">
        <v>2.5000000000000001E-2</v>
      </c>
      <c r="E38" s="254">
        <v>2.5000000000000001E-2</v>
      </c>
      <c r="F38" s="254">
        <v>2.5000000000000001E-2</v>
      </c>
      <c r="G38" s="254">
        <v>2.5000000000000001E-2</v>
      </c>
      <c r="H38" s="254">
        <v>2.5000000000000001E-2</v>
      </c>
      <c r="I38" s="254">
        <v>2.5000000000000001E-2</v>
      </c>
      <c r="J38" s="254">
        <v>2.5000000000000001E-2</v>
      </c>
      <c r="K38" s="90"/>
    </row>
    <row r="39" spans="1:11" s="23" customFormat="1" ht="11.55" customHeight="1" x14ac:dyDescent="0.25">
      <c r="A39" s="121" t="s">
        <v>70</v>
      </c>
      <c r="B39" s="123">
        <v>50</v>
      </c>
      <c r="C39" s="123">
        <v>50</v>
      </c>
      <c r="D39" s="123">
        <v>50</v>
      </c>
      <c r="E39" s="123">
        <v>50</v>
      </c>
      <c r="F39" s="123">
        <v>50</v>
      </c>
      <c r="G39" s="123">
        <v>50</v>
      </c>
      <c r="H39" s="123">
        <v>50</v>
      </c>
      <c r="I39" s="123">
        <v>50</v>
      </c>
      <c r="J39" s="123">
        <v>50</v>
      </c>
      <c r="K39" s="90"/>
    </row>
    <row r="40" spans="1:11" s="23" customFormat="1" ht="11.55" customHeight="1" x14ac:dyDescent="0.25">
      <c r="A40" s="121" t="s">
        <v>71</v>
      </c>
      <c r="B40" s="124">
        <f>+('5-PRECIOS SIN IVA'!$B$40)/(((1+'5-PRECIOS SIN IVA'!$B$40)^$B$39)-1)</f>
        <v>3.4442863738661871E-3</v>
      </c>
      <c r="C40" s="124">
        <f>+('5-PRECIOS SIN IVA'!$B$40)/(((1+'5-PRECIOS SIN IVA'!$B$40)^$B$39)-1)</f>
        <v>3.4442863738661871E-3</v>
      </c>
      <c r="D40" s="124">
        <f>+('5-PRECIOS SIN IVA'!$B$40)/(((1+'5-PRECIOS SIN IVA'!$B$40)^$B$39)-1)</f>
        <v>3.4442863738661871E-3</v>
      </c>
      <c r="E40" s="124">
        <f>+('5-PRECIOS SIN IVA'!$B$40)/(((1+'5-PRECIOS SIN IVA'!$B$40)^$B$39)-1)</f>
        <v>3.4442863738661871E-3</v>
      </c>
      <c r="F40" s="124">
        <f>+('5-PRECIOS SIN IVA'!$B$40)/(((1+'5-PRECIOS SIN IVA'!$B$40)^$B$39)-1)</f>
        <v>3.4442863738661871E-3</v>
      </c>
      <c r="G40" s="124">
        <f>+('5-PRECIOS SIN IVA'!$B$40)/(((1+'5-PRECIOS SIN IVA'!$B$40)^$B$39)-1)</f>
        <v>3.4442863738661871E-3</v>
      </c>
      <c r="H40" s="124">
        <f>+('5-PRECIOS SIN IVA'!$B$40)/(((1+'5-PRECIOS SIN IVA'!$B$40)^$B$39)-1)</f>
        <v>3.4442863738661871E-3</v>
      </c>
      <c r="I40" s="124">
        <f>+('5-PRECIOS SIN IVA'!$B$40)/(((1+'5-PRECIOS SIN IVA'!$B$40)^$B$39)-1)</f>
        <v>3.4442863738661871E-3</v>
      </c>
      <c r="J40" s="124">
        <f>+('5-PRECIOS SIN IVA'!$B$40)/(((1+'5-PRECIOS SIN IVA'!$B$40)^$B$39)-1)</f>
        <v>3.4442863738661871E-3</v>
      </c>
      <c r="K40" s="90"/>
    </row>
    <row r="41" spans="1:11" s="23" customFormat="1" ht="11.55" customHeight="1" x14ac:dyDescent="0.25">
      <c r="A41" s="121" t="s">
        <v>72</v>
      </c>
      <c r="B41" s="123">
        <v>20</v>
      </c>
      <c r="C41" s="123">
        <v>20</v>
      </c>
      <c r="D41" s="123">
        <v>20</v>
      </c>
      <c r="E41" s="123">
        <v>20</v>
      </c>
      <c r="F41" s="123">
        <v>20</v>
      </c>
      <c r="G41" s="123">
        <v>20</v>
      </c>
      <c r="H41" s="123">
        <v>20</v>
      </c>
      <c r="I41" s="123">
        <v>20</v>
      </c>
      <c r="J41" s="123">
        <v>20</v>
      </c>
      <c r="K41" s="90"/>
    </row>
    <row r="42" spans="1:11" s="23" customFormat="1" ht="11.55" customHeight="1" x14ac:dyDescent="0.25">
      <c r="A42" s="121" t="s">
        <v>73</v>
      </c>
      <c r="B42" s="125">
        <f>+('5-PRECIOS SIN IVA'!$B$40)/(((1+'5-PRECIOS SIN IVA'!$B$40)^$B$41)-1)</f>
        <v>2.7184556976851404E-2</v>
      </c>
      <c r="C42" s="125">
        <f>+('5-PRECIOS SIN IVA'!$B$40)/(((1+'5-PRECIOS SIN IVA'!$B$40)^$B$41)-1)</f>
        <v>2.7184556976851404E-2</v>
      </c>
      <c r="D42" s="125">
        <f>+('5-PRECIOS SIN IVA'!$B$40)/(((1+'5-PRECIOS SIN IVA'!$B$40)^$B$41)-1)</f>
        <v>2.7184556976851404E-2</v>
      </c>
      <c r="E42" s="125">
        <f>+('5-PRECIOS SIN IVA'!$B$40)/(((1+'5-PRECIOS SIN IVA'!$B$40)^$B$41)-1)</f>
        <v>2.7184556976851404E-2</v>
      </c>
      <c r="F42" s="125">
        <f>+('5-PRECIOS SIN IVA'!$B$40)/(((1+'5-PRECIOS SIN IVA'!$B$40)^$B$41)-1)</f>
        <v>2.7184556976851404E-2</v>
      </c>
      <c r="G42" s="125">
        <f>+('5-PRECIOS SIN IVA'!$B$40)/(((1+'5-PRECIOS SIN IVA'!$B$40)^$B$41)-1)</f>
        <v>2.7184556976851404E-2</v>
      </c>
      <c r="H42" s="125">
        <f>+('5-PRECIOS SIN IVA'!$B$40)/(((1+'5-PRECIOS SIN IVA'!$B$40)^$B$41)-1)</f>
        <v>2.7184556976851404E-2</v>
      </c>
      <c r="I42" s="125">
        <f>+('5-PRECIOS SIN IVA'!$B$40)/(((1+'5-PRECIOS SIN IVA'!$B$40)^$B$41)-1)</f>
        <v>2.7184556976851404E-2</v>
      </c>
      <c r="J42" s="125">
        <f>+('5-PRECIOS SIN IVA'!$B$40)/(((1+'5-PRECIOS SIN IVA'!$B$40)^$B$41)-1)</f>
        <v>2.7184556976851404E-2</v>
      </c>
      <c r="K42" s="90"/>
    </row>
    <row r="43" spans="1:11" s="23" customFormat="1" ht="11.55" customHeight="1" x14ac:dyDescent="0.25">
      <c r="A43" s="121" t="s">
        <v>74</v>
      </c>
      <c r="B43" s="123">
        <v>0.2</v>
      </c>
      <c r="C43" s="123">
        <v>0.2</v>
      </c>
      <c r="D43" s="123">
        <v>0.2</v>
      </c>
      <c r="E43" s="123">
        <v>0.2</v>
      </c>
      <c r="F43" s="123">
        <v>0.2</v>
      </c>
      <c r="G43" s="123">
        <v>0.2</v>
      </c>
      <c r="H43" s="123">
        <v>0.2</v>
      </c>
      <c r="I43" s="123">
        <v>0.2</v>
      </c>
      <c r="J43" s="123">
        <v>0.2</v>
      </c>
      <c r="K43" s="90"/>
    </row>
    <row r="44" spans="1:11" s="23" customFormat="1" ht="11.55" customHeight="1" x14ac:dyDescent="0.25">
      <c r="A44" s="121" t="s">
        <v>75</v>
      </c>
      <c r="B44" s="123">
        <v>0.1</v>
      </c>
      <c r="C44" s="123">
        <v>0.1</v>
      </c>
      <c r="D44" s="123">
        <v>0.1</v>
      </c>
      <c r="E44" s="123">
        <v>0.1</v>
      </c>
      <c r="F44" s="123">
        <v>0.1</v>
      </c>
      <c r="G44" s="123">
        <v>0.1</v>
      </c>
      <c r="H44" s="123">
        <v>0.1</v>
      </c>
      <c r="I44" s="123">
        <v>0.1</v>
      </c>
      <c r="J44" s="123">
        <v>0.1</v>
      </c>
      <c r="K44" s="90"/>
    </row>
    <row r="45" spans="1:11" s="23" customFormat="1" ht="11.55" customHeight="1" x14ac:dyDescent="0.25">
      <c r="A45" s="121" t="s">
        <v>76</v>
      </c>
      <c r="B45" s="123">
        <v>0.02</v>
      </c>
      <c r="C45" s="123">
        <v>0.02</v>
      </c>
      <c r="D45" s="123">
        <v>0.02</v>
      </c>
      <c r="E45" s="123">
        <v>0.02</v>
      </c>
      <c r="F45" s="123">
        <v>0.02</v>
      </c>
      <c r="G45" s="123">
        <v>0.02</v>
      </c>
      <c r="H45" s="123">
        <v>0.02</v>
      </c>
      <c r="I45" s="123">
        <v>0.02</v>
      </c>
      <c r="J45" s="123">
        <v>0.02</v>
      </c>
      <c r="K45" s="90"/>
    </row>
    <row r="46" spans="1:11" s="23" customFormat="1" ht="11.55" customHeight="1" x14ac:dyDescent="0.25">
      <c r="A46" s="121" t="s">
        <v>77</v>
      </c>
      <c r="B46" s="123">
        <v>0.03</v>
      </c>
      <c r="C46" s="123">
        <v>0.03</v>
      </c>
      <c r="D46" s="123">
        <v>0.03</v>
      </c>
      <c r="E46" s="123">
        <v>0.03</v>
      </c>
      <c r="F46" s="123">
        <v>0.03</v>
      </c>
      <c r="G46" s="123">
        <v>0.03</v>
      </c>
      <c r="H46" s="123">
        <v>0.03</v>
      </c>
      <c r="I46" s="123">
        <v>0.03</v>
      </c>
      <c r="J46" s="123">
        <v>0.03</v>
      </c>
      <c r="K46" s="90"/>
    </row>
    <row r="47" spans="1:11" s="23" customFormat="1" ht="11.55" customHeight="1" x14ac:dyDescent="0.25">
      <c r="A47" s="121" t="s">
        <v>78</v>
      </c>
      <c r="B47" s="123">
        <v>10</v>
      </c>
      <c r="C47" s="123">
        <v>10</v>
      </c>
      <c r="D47" s="123">
        <v>10</v>
      </c>
      <c r="E47" s="123">
        <v>10</v>
      </c>
      <c r="F47" s="123">
        <v>10</v>
      </c>
      <c r="G47" s="123">
        <v>10</v>
      </c>
      <c r="H47" s="123">
        <v>10</v>
      </c>
      <c r="I47" s="123">
        <v>10</v>
      </c>
      <c r="J47" s="123">
        <v>10</v>
      </c>
      <c r="K47" s="90"/>
    </row>
    <row r="48" spans="1:11" s="23" customFormat="1" ht="11.55" customHeight="1" x14ac:dyDescent="0.25">
      <c r="A48" s="121" t="s">
        <v>79</v>
      </c>
      <c r="B48" s="123">
        <v>0.2</v>
      </c>
      <c r="C48" s="123">
        <v>0.2</v>
      </c>
      <c r="D48" s="123">
        <v>0.2</v>
      </c>
      <c r="E48" s="123">
        <v>0.2</v>
      </c>
      <c r="F48" s="123">
        <v>0.2</v>
      </c>
      <c r="G48" s="123">
        <v>0.2</v>
      </c>
      <c r="H48" s="123">
        <v>0.2</v>
      </c>
      <c r="I48" s="123">
        <v>0.2</v>
      </c>
      <c r="J48" s="123">
        <v>0.2</v>
      </c>
      <c r="K48" s="90"/>
    </row>
    <row r="49" spans="1:11" s="23" customFormat="1" ht="11.55" customHeight="1" x14ac:dyDescent="0.25">
      <c r="A49" s="121" t="s">
        <v>80</v>
      </c>
      <c r="B49" s="126">
        <f>+('5-PRECIOS SIN IVA'!$B$40)/(((1+'5-PRECIOS SIN IVA'!$B$40)^$B$47)-1)</f>
        <v>7.5867958220383724E-2</v>
      </c>
      <c r="C49" s="126">
        <f>+('5-PRECIOS SIN IVA'!$B$40)/(((1+'5-PRECIOS SIN IVA'!$B$40)^$B$47)-1)</f>
        <v>7.5867958220383724E-2</v>
      </c>
      <c r="D49" s="126">
        <f>+('5-PRECIOS SIN IVA'!$B$40)/(((1+'5-PRECIOS SIN IVA'!$B$40)^$B$47)-1)</f>
        <v>7.5867958220383724E-2</v>
      </c>
      <c r="E49" s="126">
        <f>+('5-PRECIOS SIN IVA'!$B$40)/(((1+'5-PRECIOS SIN IVA'!$B$40)^$B$47)-1)</f>
        <v>7.5867958220383724E-2</v>
      </c>
      <c r="F49" s="126">
        <f>+('5-PRECIOS SIN IVA'!$B$40)/(((1+'5-PRECIOS SIN IVA'!$B$40)^$B$47)-1)</f>
        <v>7.5867958220383724E-2</v>
      </c>
      <c r="G49" s="126">
        <f>+('5-PRECIOS SIN IVA'!$B$40)/(((1+'5-PRECIOS SIN IVA'!$B$40)^$B$47)-1)</f>
        <v>7.5867958220383724E-2</v>
      </c>
      <c r="H49" s="126">
        <f>+('5-PRECIOS SIN IVA'!$B$40)/(((1+'5-PRECIOS SIN IVA'!$B$40)^$B$47)-1)</f>
        <v>7.5867958220383724E-2</v>
      </c>
      <c r="I49" s="126">
        <f>+('5-PRECIOS SIN IVA'!$B$40)/(((1+'5-PRECIOS SIN IVA'!$B$40)^$B$47)-1)</f>
        <v>7.5867958220383724E-2</v>
      </c>
      <c r="J49" s="126">
        <f>+('5-PRECIOS SIN IVA'!$B$40)/(((1+'5-PRECIOS SIN IVA'!$B$40)^$B$47)-1)</f>
        <v>7.5867958220383724E-2</v>
      </c>
      <c r="K49" s="90"/>
    </row>
    <row r="50" spans="1:11" s="23" customFormat="1" ht="11.55" customHeight="1" x14ac:dyDescent="0.25">
      <c r="A50" s="121" t="s">
        <v>81</v>
      </c>
      <c r="B50" s="452">
        <v>5</v>
      </c>
      <c r="C50" s="123">
        <v>10</v>
      </c>
      <c r="D50" s="123">
        <v>10</v>
      </c>
      <c r="E50" s="123">
        <v>10</v>
      </c>
      <c r="F50" s="123">
        <v>10</v>
      </c>
      <c r="G50" s="123">
        <v>10</v>
      </c>
      <c r="H50" s="123">
        <v>10</v>
      </c>
      <c r="I50" s="123">
        <v>10</v>
      </c>
      <c r="J50" s="123">
        <v>10</v>
      </c>
      <c r="K50" s="90"/>
    </row>
    <row r="51" spans="1:11" s="23" customFormat="1" ht="11.55" customHeight="1" x14ac:dyDescent="0.25">
      <c r="A51" s="121" t="s">
        <v>82</v>
      </c>
      <c r="B51" s="123">
        <v>0</v>
      </c>
      <c r="C51" s="123">
        <v>0</v>
      </c>
      <c r="D51" s="123">
        <v>0</v>
      </c>
      <c r="E51" s="123">
        <v>0</v>
      </c>
      <c r="F51" s="123">
        <v>0</v>
      </c>
      <c r="G51" s="123">
        <v>0</v>
      </c>
      <c r="H51" s="123">
        <v>0</v>
      </c>
      <c r="I51" s="123">
        <v>0</v>
      </c>
      <c r="J51" s="123">
        <v>0</v>
      </c>
      <c r="K51" s="90"/>
    </row>
    <row r="52" spans="1:11" s="23" customFormat="1" ht="11.55" customHeight="1" x14ac:dyDescent="0.25">
      <c r="A52" s="64"/>
      <c r="B52" s="65"/>
      <c r="C52" s="65"/>
      <c r="D52" s="65"/>
      <c r="E52" s="65"/>
      <c r="F52" s="65"/>
      <c r="G52" s="65"/>
      <c r="H52" s="65"/>
      <c r="I52" s="65"/>
      <c r="J52" s="65"/>
      <c r="K52" s="133"/>
    </row>
    <row r="53" spans="1:11" x14ac:dyDescent="0.25">
      <c r="C53" s="545"/>
      <c r="D53" s="545"/>
      <c r="E53" s="545"/>
      <c r="G53" s="545"/>
      <c r="H53" s="545"/>
      <c r="I53" s="545"/>
    </row>
    <row r="56" spans="1:11" x14ac:dyDescent="0.25">
      <c r="C56" s="545"/>
      <c r="D56" s="545"/>
      <c r="E56" s="545"/>
      <c r="G56" s="545"/>
      <c r="H56" s="545"/>
      <c r="I56" s="545"/>
    </row>
    <row r="58" spans="1:11" x14ac:dyDescent="0.25">
      <c r="C58" s="545"/>
      <c r="D58" s="545"/>
      <c r="E58" s="545"/>
      <c r="F58" s="545"/>
      <c r="G58" s="545"/>
      <c r="H58" s="545"/>
      <c r="I58" s="545"/>
      <c r="J58" s="545"/>
    </row>
    <row r="59" spans="1:11" x14ac:dyDescent="0.25">
      <c r="C59" s="545"/>
      <c r="D59" s="545"/>
      <c r="E59" s="545"/>
      <c r="F59" s="545"/>
      <c r="G59" s="545"/>
      <c r="H59" s="545"/>
      <c r="I59" s="545"/>
      <c r="J59" s="545"/>
    </row>
    <row r="60" spans="1:11" x14ac:dyDescent="0.25">
      <c r="C60" s="545"/>
      <c r="D60" s="545"/>
      <c r="E60" s="545"/>
      <c r="F60" s="545"/>
      <c r="G60" s="545"/>
      <c r="H60" s="545"/>
      <c r="I60" s="545"/>
      <c r="J60" s="545"/>
    </row>
    <row r="61" spans="1:11" x14ac:dyDescent="0.25">
      <c r="C61" s="545"/>
      <c r="D61" s="545"/>
      <c r="E61" s="545"/>
      <c r="F61" s="545"/>
      <c r="G61" s="545"/>
      <c r="H61" s="545"/>
      <c r="I61" s="545"/>
      <c r="J61" s="545"/>
    </row>
  </sheetData>
  <pageMargins left="0.7" right="0.7" top="0.75" bottom="0.75" header="0.3" footer="0.3"/>
  <pageSetup paperSize="9" orientation="portrait" horizontalDpi="0" verticalDpi="0"/>
  <ignoredErrors>
    <ignoredError sqref="B32:J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4C34-920F-4D95-BF4F-C15430E5BF0E}">
  <dimension ref="A1:U168"/>
  <sheetViews>
    <sheetView topLeftCell="A151" zoomScale="110" zoomScaleNormal="110" workbookViewId="0">
      <selection activeCell="A164" sqref="A164:XFD184"/>
    </sheetView>
  </sheetViews>
  <sheetFormatPr baseColWidth="10" defaultRowHeight="13.2" x14ac:dyDescent="0.25"/>
  <cols>
    <col min="1" max="1" width="38.109375" style="18" customWidth="1"/>
    <col min="2" max="3" width="16.5546875" customWidth="1"/>
    <col min="4" max="4" width="16.5546875" style="20" customWidth="1"/>
    <col min="5" max="10" width="16.5546875" customWidth="1"/>
    <col min="11" max="14" width="12.21875" style="64" customWidth="1"/>
    <col min="15" max="17" width="11.5546875" style="64"/>
    <col min="20" max="20" width="13.33203125" customWidth="1"/>
  </cols>
  <sheetData>
    <row r="1" spans="1:19" ht="13.95" customHeight="1" x14ac:dyDescent="0.2">
      <c r="A1" s="82" t="s">
        <v>355</v>
      </c>
      <c r="B1" s="590"/>
      <c r="C1" s="529"/>
      <c r="D1" s="529"/>
      <c r="E1" s="529"/>
      <c r="F1" s="529"/>
      <c r="G1" s="529"/>
      <c r="H1" s="529"/>
      <c r="I1" s="529"/>
      <c r="J1" s="529"/>
      <c r="K1" s="236"/>
      <c r="L1" s="236"/>
      <c r="M1" s="236"/>
      <c r="N1" s="236"/>
      <c r="O1" s="236"/>
      <c r="P1" s="236"/>
      <c r="Q1" s="236"/>
    </row>
    <row r="2" spans="1:19" ht="13.95" customHeight="1" x14ac:dyDescent="0.2">
      <c r="A2" s="37"/>
      <c r="B2" s="402"/>
      <c r="C2" s="526"/>
      <c r="D2" s="526"/>
      <c r="E2" s="526"/>
      <c r="F2" s="526"/>
      <c r="G2" s="526"/>
      <c r="H2" s="526"/>
      <c r="I2" s="526"/>
      <c r="J2" s="526"/>
      <c r="K2" s="236"/>
      <c r="L2" s="236"/>
      <c r="M2" s="236"/>
      <c r="N2" s="236"/>
      <c r="O2" s="236"/>
      <c r="P2" s="236"/>
      <c r="Q2" s="236"/>
    </row>
    <row r="3" spans="1:19" ht="13.95" customHeight="1" x14ac:dyDescent="0.2">
      <c r="A3" s="197" t="s">
        <v>444</v>
      </c>
      <c r="B3" s="197" t="s">
        <v>298</v>
      </c>
      <c r="C3" s="197" t="s">
        <v>299</v>
      </c>
      <c r="D3" s="197" t="s">
        <v>300</v>
      </c>
      <c r="E3" s="197" t="s">
        <v>445</v>
      </c>
      <c r="F3" s="197" t="s">
        <v>446</v>
      </c>
      <c r="G3" s="197" t="s">
        <v>447</v>
      </c>
      <c r="H3" s="197" t="s">
        <v>301</v>
      </c>
      <c r="I3" s="197" t="s">
        <v>302</v>
      </c>
      <c r="J3" s="197" t="s">
        <v>303</v>
      </c>
      <c r="K3" s="527"/>
      <c r="L3" s="236"/>
      <c r="M3" s="236"/>
      <c r="N3" s="236"/>
      <c r="O3" s="236"/>
      <c r="P3" s="236"/>
      <c r="Q3" s="236"/>
    </row>
    <row r="4" spans="1:19" s="20" customFormat="1" ht="13.95" customHeight="1" x14ac:dyDescent="0.2">
      <c r="A4" s="237" t="s">
        <v>356</v>
      </c>
      <c r="B4" s="591">
        <v>2.2226653340000002</v>
      </c>
      <c r="C4" s="591">
        <v>2.2945851500000001</v>
      </c>
      <c r="D4" s="591">
        <f>+C4</f>
        <v>2.2945851500000001</v>
      </c>
      <c r="E4" s="591">
        <v>2.3600423608000001</v>
      </c>
      <c r="F4" s="591">
        <f>+D4</f>
        <v>2.2945851500000001</v>
      </c>
      <c r="G4" s="591">
        <f>+C4</f>
        <v>2.2945851500000001</v>
      </c>
      <c r="H4" s="591">
        <f>+G4</f>
        <v>2.2945851500000001</v>
      </c>
      <c r="I4" s="592">
        <f>+B4</f>
        <v>2.2226653340000002</v>
      </c>
      <c r="J4" s="593">
        <f>+I4</f>
        <v>2.2226653340000002</v>
      </c>
      <c r="K4" s="236"/>
      <c r="L4" s="236"/>
      <c r="M4" s="236"/>
      <c r="N4" s="236"/>
      <c r="O4" s="236"/>
      <c r="P4" s="236"/>
      <c r="Q4" s="236"/>
    </row>
    <row r="5" spans="1:19" ht="13.95" customHeight="1" x14ac:dyDescent="0.25">
      <c r="A5" s="238" t="s">
        <v>357</v>
      </c>
      <c r="B5" s="498"/>
      <c r="C5" s="498"/>
      <c r="D5" s="498"/>
      <c r="E5" s="498"/>
      <c r="F5" s="498"/>
      <c r="G5" s="498"/>
      <c r="H5" s="498"/>
      <c r="I5" s="498"/>
      <c r="J5" s="498"/>
      <c r="K5" s="236"/>
      <c r="L5" s="236"/>
      <c r="M5" s="236"/>
      <c r="N5" s="236"/>
      <c r="O5" s="236"/>
      <c r="P5" s="236"/>
      <c r="Q5" s="236"/>
      <c r="R5" s="43"/>
      <c r="S5" s="43"/>
    </row>
    <row r="6" spans="1:19" ht="13.95" customHeight="1" x14ac:dyDescent="0.25">
      <c r="A6" s="239" t="s">
        <v>358</v>
      </c>
      <c r="B6" s="242">
        <v>2.5958015962020001E-3</v>
      </c>
      <c r="C6" s="240">
        <v>2.2939493286465002E-3</v>
      </c>
      <c r="D6" s="240">
        <f>+C6</f>
        <v>2.2939493286465002E-3</v>
      </c>
      <c r="E6" s="240">
        <v>2.5093469264515001E-3</v>
      </c>
      <c r="F6" s="240">
        <f>+D6</f>
        <v>2.2939493286465002E-3</v>
      </c>
      <c r="G6" s="240">
        <f t="shared" ref="G6:H9" si="0">+F6</f>
        <v>2.2939493286465002E-3</v>
      </c>
      <c r="H6" s="240">
        <f t="shared" si="0"/>
        <v>2.2939493286465002E-3</v>
      </c>
      <c r="I6" s="240">
        <v>2.5988407219589998E-3</v>
      </c>
      <c r="J6" s="240">
        <f>+I6</f>
        <v>2.5988407219589998E-3</v>
      </c>
      <c r="K6" s="236"/>
      <c r="L6" s="236"/>
      <c r="M6" s="236"/>
      <c r="N6" s="236"/>
      <c r="O6" s="236"/>
      <c r="P6" s="236"/>
      <c r="Q6" s="236"/>
      <c r="R6" s="43"/>
      <c r="S6" s="43"/>
    </row>
    <row r="7" spans="1:19" ht="13.95" customHeight="1" x14ac:dyDescent="0.25">
      <c r="A7" s="239" t="s">
        <v>359</v>
      </c>
      <c r="B7" s="240">
        <v>0.13578965636412949</v>
      </c>
      <c r="C7" s="240">
        <v>0.11985905390874563</v>
      </c>
      <c r="D7" s="240">
        <v>0.11985905390874563</v>
      </c>
      <c r="E7" s="240">
        <v>0.13111358705433981</v>
      </c>
      <c r="F7" s="240">
        <f>+D7</f>
        <v>0.11985905390874563</v>
      </c>
      <c r="G7" s="240">
        <f t="shared" si="0"/>
        <v>0.11985905390874563</v>
      </c>
      <c r="H7" s="240">
        <f t="shared" si="0"/>
        <v>0.11985905390874563</v>
      </c>
      <c r="I7" s="240">
        <f>+B7</f>
        <v>0.13578965636412949</v>
      </c>
      <c r="J7" s="240">
        <f t="shared" ref="J7:J8" si="1">+I7</f>
        <v>0.13578965636412949</v>
      </c>
      <c r="K7" s="236"/>
      <c r="L7" s="236"/>
      <c r="M7" s="236"/>
      <c r="N7" s="236"/>
      <c r="O7" s="236"/>
      <c r="P7" s="236"/>
      <c r="Q7" s="236"/>
      <c r="R7" s="43"/>
      <c r="S7" s="43"/>
    </row>
    <row r="8" spans="1:19" ht="13.95" customHeight="1" x14ac:dyDescent="0.25">
      <c r="A8" s="239" t="s">
        <v>360</v>
      </c>
      <c r="B8" s="240">
        <v>8.9660163944910803E-2</v>
      </c>
      <c r="C8" s="240">
        <v>7.9141392267048E-2</v>
      </c>
      <c r="D8" s="240">
        <v>7.9141392267048E-2</v>
      </c>
      <c r="E8" s="240">
        <v>8.6572615230721003E-2</v>
      </c>
      <c r="F8" s="240">
        <f>+D8</f>
        <v>7.9141392267048E-2</v>
      </c>
      <c r="G8" s="240">
        <f t="shared" si="0"/>
        <v>7.9141392267048E-2</v>
      </c>
      <c r="H8" s="240">
        <f t="shared" si="0"/>
        <v>7.9141392267048E-2</v>
      </c>
      <c r="I8" s="240">
        <f>+B8</f>
        <v>8.9660163944910803E-2</v>
      </c>
      <c r="J8" s="240">
        <f t="shared" si="1"/>
        <v>8.9660163944910803E-2</v>
      </c>
      <c r="K8" s="236"/>
      <c r="L8" s="236"/>
      <c r="M8" s="236"/>
      <c r="N8" s="236"/>
      <c r="O8" s="236"/>
      <c r="P8" s="236"/>
      <c r="Q8" s="236"/>
      <c r="R8" s="43"/>
      <c r="S8" s="43"/>
    </row>
    <row r="9" spans="1:19" ht="13.95" customHeight="1" x14ac:dyDescent="0.25">
      <c r="A9" s="239" t="s">
        <v>361</v>
      </c>
      <c r="B9" s="500">
        <f>SUM(B6:B8)</f>
        <v>0.2280456219052423</v>
      </c>
      <c r="C9" s="500">
        <f>SUM(C6:C8)</f>
        <v>0.20129439550444012</v>
      </c>
      <c r="D9" s="500">
        <f>+C9</f>
        <v>0.20129439550444012</v>
      </c>
      <c r="E9" s="499">
        <f>SUM(E6:E8)</f>
        <v>0.2201955492115123</v>
      </c>
      <c r="F9" s="500">
        <f>+D9</f>
        <v>0.20129439550444012</v>
      </c>
      <c r="G9" s="500">
        <f t="shared" si="0"/>
        <v>0.20129439550444012</v>
      </c>
      <c r="H9" s="500">
        <f t="shared" si="0"/>
        <v>0.20129439550444012</v>
      </c>
      <c r="I9" s="500">
        <f>SUM(I6:I8)</f>
        <v>0.2280486610309993</v>
      </c>
      <c r="J9" s="500">
        <f>SUM(J6:J8)</f>
        <v>0.2280486610309993</v>
      </c>
      <c r="K9" s="236"/>
      <c r="L9" s="236"/>
      <c r="M9" s="236"/>
      <c r="N9" s="236"/>
      <c r="O9" s="236"/>
      <c r="P9" s="236"/>
      <c r="Q9" s="236"/>
      <c r="R9" s="43"/>
      <c r="S9" s="43"/>
    </row>
    <row r="10" spans="1:19" ht="13.95" customHeight="1" x14ac:dyDescent="0.25">
      <c r="A10" s="238" t="s">
        <v>362</v>
      </c>
      <c r="B10" s="501"/>
      <c r="C10" s="501"/>
      <c r="D10" s="501"/>
      <c r="E10" s="501"/>
      <c r="F10" s="501"/>
      <c r="G10" s="501"/>
      <c r="H10" s="501"/>
      <c r="I10" s="501"/>
      <c r="J10" s="501"/>
      <c r="K10" s="236"/>
      <c r="L10" s="236"/>
      <c r="M10" s="236"/>
      <c r="N10" s="236"/>
      <c r="O10" s="236"/>
      <c r="P10" s="236"/>
      <c r="Q10" s="236"/>
      <c r="R10" s="43"/>
      <c r="S10" s="43"/>
    </row>
    <row r="11" spans="1:19" ht="13.95" customHeight="1" x14ac:dyDescent="0.25">
      <c r="A11" s="239" t="s">
        <v>363</v>
      </c>
      <c r="B11" s="242">
        <v>5.1574564594049997E-3</v>
      </c>
      <c r="C11" s="242">
        <v>5.69469119605E-3</v>
      </c>
      <c r="D11" s="242">
        <f>+C11</f>
        <v>5.69469119605E-3</v>
      </c>
      <c r="E11" s="242">
        <v>6.2294116778999998E-3</v>
      </c>
      <c r="F11" s="242">
        <f>+D11</f>
        <v>5.69469119605E-3</v>
      </c>
      <c r="G11" s="242">
        <v>5.6913212167650001E-3</v>
      </c>
      <c r="H11" s="242">
        <f t="shared" ref="H11:H14" si="2">+G11</f>
        <v>5.6913212167650001E-3</v>
      </c>
      <c r="I11" s="242">
        <v>5.1607299151100001E-3</v>
      </c>
      <c r="J11" s="242">
        <f>+I11</f>
        <v>5.1607299151100001E-3</v>
      </c>
      <c r="K11" s="236"/>
      <c r="L11" s="236"/>
      <c r="M11" s="236"/>
      <c r="N11" s="236"/>
      <c r="O11" s="236"/>
      <c r="P11" s="236"/>
      <c r="Q11" s="236"/>
      <c r="R11" s="43"/>
      <c r="S11" s="43"/>
    </row>
    <row r="12" spans="1:19" ht="13.95" customHeight="1" x14ac:dyDescent="0.25">
      <c r="A12" s="239" t="s">
        <v>364</v>
      </c>
      <c r="B12" s="242">
        <v>0.15895156157546575</v>
      </c>
      <c r="C12" s="242">
        <v>0.17529386634154043</v>
      </c>
      <c r="D12" s="242">
        <f>+C12</f>
        <v>0.17529386634154043</v>
      </c>
      <c r="E12" s="242">
        <v>0.19175362106697191</v>
      </c>
      <c r="F12" s="242">
        <f>+D12</f>
        <v>0.17529386634154043</v>
      </c>
      <c r="G12" s="242">
        <v>0.17529386634154043</v>
      </c>
      <c r="H12" s="242">
        <f t="shared" si="2"/>
        <v>0.17529386634154043</v>
      </c>
      <c r="I12" s="242">
        <f t="shared" ref="I12:I14" si="3">+B12</f>
        <v>0.15895156157546575</v>
      </c>
      <c r="J12" s="242">
        <f t="shared" ref="J12:J14" si="4">+I12</f>
        <v>0.15895156157546575</v>
      </c>
      <c r="K12" s="236"/>
      <c r="L12" s="236"/>
      <c r="M12" s="236"/>
      <c r="N12" s="236"/>
      <c r="O12" s="236"/>
      <c r="P12" s="236"/>
      <c r="Q12" s="236"/>
      <c r="R12" s="43"/>
      <c r="S12" s="43"/>
    </row>
    <row r="13" spans="1:19" ht="13.95" customHeight="1" x14ac:dyDescent="0.25">
      <c r="A13" s="239" t="s">
        <v>365</v>
      </c>
      <c r="B13" s="242">
        <v>1.754660095313583E-2</v>
      </c>
      <c r="C13" s="242">
        <v>1.9350621609131084E-2</v>
      </c>
      <c r="D13" s="242">
        <f>+C13</f>
        <v>1.9350621609131084E-2</v>
      </c>
      <c r="E13" s="242">
        <v>2.1167607520380018E-2</v>
      </c>
      <c r="F13" s="242">
        <f>+D13</f>
        <v>1.9350621609131084E-2</v>
      </c>
      <c r="G13" s="242">
        <v>1.9350621609131084E-2</v>
      </c>
      <c r="H13" s="242">
        <f t="shared" si="2"/>
        <v>1.9350621609131084E-2</v>
      </c>
      <c r="I13" s="242">
        <f t="shared" si="3"/>
        <v>1.754660095313583E-2</v>
      </c>
      <c r="J13" s="242">
        <f t="shared" si="4"/>
        <v>1.754660095313583E-2</v>
      </c>
      <c r="K13" s="236"/>
      <c r="L13" s="236"/>
      <c r="M13" s="236"/>
      <c r="N13" s="236"/>
      <c r="O13" s="236"/>
      <c r="P13" s="236"/>
      <c r="Q13" s="236"/>
      <c r="R13" s="43"/>
      <c r="S13" s="43"/>
    </row>
    <row r="14" spans="1:19" ht="13.95" customHeight="1" x14ac:dyDescent="0.25">
      <c r="A14" s="239" t="s">
        <v>360</v>
      </c>
      <c r="B14" s="242">
        <v>6.3993552214548E-2</v>
      </c>
      <c r="C14" s="242">
        <v>7.0572928042064803E-2</v>
      </c>
      <c r="D14" s="242">
        <f>+C14</f>
        <v>7.0572928042064803E-2</v>
      </c>
      <c r="E14" s="242">
        <v>7.7199589414248496E-2</v>
      </c>
      <c r="F14" s="242">
        <f>+D14</f>
        <v>7.0572928042064803E-2</v>
      </c>
      <c r="G14" s="242">
        <v>7.0572928042064803E-2</v>
      </c>
      <c r="H14" s="242">
        <f t="shared" si="2"/>
        <v>7.0572928042064803E-2</v>
      </c>
      <c r="I14" s="242">
        <f t="shared" si="3"/>
        <v>6.3993552214548E-2</v>
      </c>
      <c r="J14" s="242">
        <f t="shared" si="4"/>
        <v>6.3993552214548E-2</v>
      </c>
      <c r="K14" s="236"/>
      <c r="L14" s="236"/>
      <c r="M14" s="236"/>
      <c r="N14" s="236"/>
      <c r="O14" s="236"/>
      <c r="P14" s="236"/>
      <c r="Q14" s="236"/>
      <c r="R14" s="43"/>
      <c r="S14" s="43"/>
    </row>
    <row r="15" spans="1:19" ht="13.95" customHeight="1" x14ac:dyDescent="0.25">
      <c r="A15" s="239" t="s">
        <v>366</v>
      </c>
      <c r="B15" s="241">
        <f t="shared" ref="B15:J15" si="5">SUM(B11:B14)</f>
        <v>0.24564917120255458</v>
      </c>
      <c r="C15" s="241">
        <f t="shared" si="5"/>
        <v>0.27091210718878633</v>
      </c>
      <c r="D15" s="241">
        <f t="shared" si="5"/>
        <v>0.27091210718878633</v>
      </c>
      <c r="E15" s="241">
        <f t="shared" si="5"/>
        <v>0.29635022967950042</v>
      </c>
      <c r="F15" s="241">
        <f t="shared" si="5"/>
        <v>0.27091210718878633</v>
      </c>
      <c r="G15" s="241">
        <f t="shared" si="5"/>
        <v>0.27090873720950132</v>
      </c>
      <c r="H15" s="241">
        <f t="shared" si="5"/>
        <v>0.27090873720950132</v>
      </c>
      <c r="I15" s="241">
        <f t="shared" si="5"/>
        <v>0.24565244465825958</v>
      </c>
      <c r="J15" s="241">
        <f t="shared" si="5"/>
        <v>0.24565244465825958</v>
      </c>
      <c r="K15" s="236"/>
      <c r="L15" s="236"/>
      <c r="M15" s="236"/>
      <c r="N15" s="236"/>
      <c r="O15" s="236"/>
      <c r="P15" s="236"/>
      <c r="Q15" s="236"/>
      <c r="R15" s="43"/>
      <c r="S15" s="43"/>
    </row>
    <row r="16" spans="1:19" ht="13.95" customHeight="1" x14ac:dyDescent="0.25">
      <c r="A16" s="238" t="s">
        <v>367</v>
      </c>
      <c r="B16" s="392"/>
      <c r="C16" s="392"/>
      <c r="D16" s="392"/>
      <c r="E16" s="392"/>
      <c r="F16" s="392"/>
      <c r="G16" s="392"/>
      <c r="H16" s="392"/>
      <c r="I16" s="392"/>
      <c r="J16" s="392"/>
      <c r="K16" s="236"/>
      <c r="L16" s="236"/>
      <c r="M16" s="236"/>
      <c r="N16" s="236"/>
      <c r="O16" s="236"/>
      <c r="P16" s="236"/>
      <c r="Q16" s="236"/>
      <c r="R16" s="43"/>
      <c r="S16" s="43"/>
    </row>
    <row r="17" spans="1:19" ht="13.95" customHeight="1" x14ac:dyDescent="0.25">
      <c r="A17" s="239" t="s">
        <v>368</v>
      </c>
      <c r="B17" s="242">
        <v>4.1826232617429996E-3</v>
      </c>
      <c r="C17" s="242">
        <v>4.4297469479999997E-3</v>
      </c>
      <c r="D17" s="242">
        <f>+C17</f>
        <v>4.4297469479999997E-3</v>
      </c>
      <c r="E17" s="242">
        <v>4.8456912145000003E-3</v>
      </c>
      <c r="F17" s="242">
        <f>+D17</f>
        <v>4.4297469479999997E-3</v>
      </c>
      <c r="G17" s="242">
        <v>4.4274196661E-3</v>
      </c>
      <c r="H17" s="242">
        <f t="shared" ref="G17:H21" si="6">+G17</f>
        <v>4.4274196661E-3</v>
      </c>
      <c r="I17" s="242">
        <v>4.1835695686000002E-3</v>
      </c>
      <c r="J17" s="242">
        <f>+I17</f>
        <v>4.1835695686000002E-3</v>
      </c>
      <c r="K17" s="236"/>
      <c r="L17" s="236"/>
      <c r="M17" s="236"/>
      <c r="N17" s="236"/>
      <c r="O17" s="236"/>
      <c r="P17" s="236"/>
      <c r="Q17" s="236"/>
      <c r="R17" s="43"/>
      <c r="S17" s="43"/>
    </row>
    <row r="18" spans="1:19" ht="13.95" customHeight="1" x14ac:dyDescent="0.25">
      <c r="A18" s="239" t="s">
        <v>369</v>
      </c>
      <c r="B18" s="242">
        <v>6.2753546818468311E-3</v>
      </c>
      <c r="C18" s="242">
        <v>6.6411299398354776E-3</v>
      </c>
      <c r="D18" s="242">
        <f>+C18</f>
        <v>6.6411299398354776E-3</v>
      </c>
      <c r="E18" s="242">
        <v>7.2647191856590066E-3</v>
      </c>
      <c r="F18" s="242">
        <f>+D18</f>
        <v>6.6411299398354776E-3</v>
      </c>
      <c r="G18" s="242">
        <f t="shared" si="6"/>
        <v>6.6411299398354776E-3</v>
      </c>
      <c r="H18" s="242">
        <f t="shared" si="6"/>
        <v>6.6411299398354776E-3</v>
      </c>
      <c r="I18" s="242">
        <f>+B18</f>
        <v>6.2753546818468311E-3</v>
      </c>
      <c r="J18" s="242">
        <f>+I18</f>
        <v>6.2753546818468311E-3</v>
      </c>
      <c r="K18" s="236"/>
      <c r="L18" s="236"/>
      <c r="M18" s="236"/>
      <c r="N18" s="236"/>
      <c r="O18" s="236"/>
      <c r="P18" s="236"/>
      <c r="Q18" s="236"/>
      <c r="R18" s="43"/>
      <c r="S18" s="43"/>
    </row>
    <row r="19" spans="1:19" ht="13.95" customHeight="1" x14ac:dyDescent="0.25">
      <c r="A19" s="239" t="s">
        <v>370</v>
      </c>
      <c r="B19" s="242">
        <v>8.0533718417034328E-2</v>
      </c>
      <c r="C19" s="242">
        <v>8.5227834227888613E-2</v>
      </c>
      <c r="D19" s="242">
        <f>+C19</f>
        <v>8.5227834227888613E-2</v>
      </c>
      <c r="E19" s="242">
        <v>9.3230562882623894E-2</v>
      </c>
      <c r="F19" s="242">
        <f>+D19</f>
        <v>8.5227834227888613E-2</v>
      </c>
      <c r="G19" s="242">
        <f t="shared" si="6"/>
        <v>8.5227834227888613E-2</v>
      </c>
      <c r="H19" s="242">
        <f t="shared" si="6"/>
        <v>8.5227834227888613E-2</v>
      </c>
      <c r="I19" s="242">
        <f>+B19</f>
        <v>8.0533718417034328E-2</v>
      </c>
      <c r="J19" s="242">
        <f>+I19</f>
        <v>8.0533718417034328E-2</v>
      </c>
      <c r="K19" s="236"/>
      <c r="L19" s="236"/>
      <c r="M19" s="236"/>
      <c r="N19" s="236"/>
      <c r="O19" s="236"/>
      <c r="P19" s="236"/>
      <c r="Q19" s="236"/>
      <c r="R19" s="43"/>
      <c r="S19" s="43"/>
    </row>
    <row r="20" spans="1:19" ht="13.95" customHeight="1" x14ac:dyDescent="0.25">
      <c r="A20" s="239" t="s">
        <v>371</v>
      </c>
      <c r="B20" s="242">
        <v>1.8826064045540492E-2</v>
      </c>
      <c r="C20" s="242">
        <v>1.9923389819506428E-2</v>
      </c>
      <c r="D20" s="242">
        <f>+C20</f>
        <v>1.9923389819506428E-2</v>
      </c>
      <c r="E20" s="242">
        <v>2.1794157556977015E-2</v>
      </c>
      <c r="F20" s="242">
        <f>+D20</f>
        <v>1.9923389819506428E-2</v>
      </c>
      <c r="G20" s="242">
        <f t="shared" si="6"/>
        <v>1.9923389819506428E-2</v>
      </c>
      <c r="H20" s="242">
        <f t="shared" si="6"/>
        <v>1.9923389819506428E-2</v>
      </c>
      <c r="I20" s="242">
        <f>+B20</f>
        <v>1.8826064045540492E-2</v>
      </c>
      <c r="J20" s="242">
        <f>+I20</f>
        <v>1.8826064045540492E-2</v>
      </c>
      <c r="K20" s="236"/>
      <c r="L20" s="236"/>
      <c r="M20" s="236"/>
      <c r="N20" s="236"/>
      <c r="O20" s="236"/>
      <c r="P20" s="236"/>
      <c r="Q20" s="236"/>
      <c r="R20" s="43"/>
      <c r="S20" s="43"/>
    </row>
    <row r="21" spans="1:19" ht="13.95" customHeight="1" x14ac:dyDescent="0.25">
      <c r="A21" s="239" t="s">
        <v>360</v>
      </c>
      <c r="B21" s="242">
        <v>2.30096111533327E-2</v>
      </c>
      <c r="C21" s="242">
        <v>2.4350785930934E-2</v>
      </c>
      <c r="D21" s="242">
        <f>+C21</f>
        <v>2.4350785930934E-2</v>
      </c>
      <c r="E21" s="242">
        <v>2.6637277875209999E-2</v>
      </c>
      <c r="F21" s="242">
        <f>+D21</f>
        <v>2.4350785930934E-2</v>
      </c>
      <c r="G21" s="242">
        <f t="shared" si="6"/>
        <v>2.4350785930934E-2</v>
      </c>
      <c r="H21" s="242">
        <f t="shared" si="6"/>
        <v>2.4350785930934E-2</v>
      </c>
      <c r="I21" s="242">
        <f>+B21</f>
        <v>2.30096111533327E-2</v>
      </c>
      <c r="J21" s="242">
        <f>+I21</f>
        <v>2.30096111533327E-2</v>
      </c>
      <c r="K21" s="394"/>
      <c r="L21" s="236"/>
      <c r="M21" s="236"/>
      <c r="N21" s="236"/>
      <c r="O21" s="236"/>
      <c r="P21" s="236"/>
      <c r="Q21" s="236"/>
      <c r="R21" s="43"/>
      <c r="S21" s="43"/>
    </row>
    <row r="22" spans="1:19" ht="13.95" customHeight="1" x14ac:dyDescent="0.25">
      <c r="A22" s="239" t="s">
        <v>63</v>
      </c>
      <c r="B22" s="407">
        <f t="shared" ref="B22:J22" si="7">SUM(B17:B21)</f>
        <v>0.13282737155949734</v>
      </c>
      <c r="C22" s="241">
        <f t="shared" si="7"/>
        <v>0.14057288686616454</v>
      </c>
      <c r="D22" s="241">
        <f t="shared" si="7"/>
        <v>0.14057288686616454</v>
      </c>
      <c r="E22" s="241">
        <f t="shared" si="7"/>
        <v>0.15377240871496992</v>
      </c>
      <c r="F22" s="241">
        <f t="shared" si="7"/>
        <v>0.14057288686616454</v>
      </c>
      <c r="G22" s="241">
        <f t="shared" si="7"/>
        <v>0.14057055958426454</v>
      </c>
      <c r="H22" s="241">
        <f t="shared" si="7"/>
        <v>0.14057055958426454</v>
      </c>
      <c r="I22" s="241">
        <f t="shared" si="7"/>
        <v>0.13282831786635435</v>
      </c>
      <c r="J22" s="241">
        <f t="shared" si="7"/>
        <v>0.13282831786635435</v>
      </c>
      <c r="K22" s="236"/>
      <c r="L22" s="236"/>
      <c r="M22" s="236"/>
      <c r="N22" s="236"/>
      <c r="O22" s="236"/>
      <c r="P22" s="236"/>
      <c r="Q22" s="236"/>
      <c r="R22" s="43"/>
      <c r="S22" s="43"/>
    </row>
    <row r="23" spans="1:19" ht="13.95" customHeight="1" x14ac:dyDescent="0.25">
      <c r="A23" s="243" t="s">
        <v>372</v>
      </c>
      <c r="B23" s="588">
        <f>+B22+B15+B9+B4</f>
        <v>2.8291874986672942</v>
      </c>
      <c r="C23" s="588">
        <f>+C22+C15+C9+C4</f>
        <v>2.9073645395593912</v>
      </c>
      <c r="D23" s="588">
        <f t="shared" ref="D23:J23" si="8">+D22+D15+D9+D4</f>
        <v>2.9073645395593912</v>
      </c>
      <c r="E23" s="588">
        <f t="shared" si="8"/>
        <v>3.0303605484059828</v>
      </c>
      <c r="F23" s="588">
        <f t="shared" si="8"/>
        <v>2.9073645395593912</v>
      </c>
      <c r="G23" s="588">
        <f t="shared" si="8"/>
        <v>2.9073588422982057</v>
      </c>
      <c r="H23" s="588">
        <f t="shared" si="8"/>
        <v>2.9073588422982057</v>
      </c>
      <c r="I23" s="588">
        <f t="shared" si="8"/>
        <v>2.8291947575556136</v>
      </c>
      <c r="J23" s="588">
        <f t="shared" si="8"/>
        <v>2.8291947575556136</v>
      </c>
      <c r="K23" s="236"/>
      <c r="L23" s="236"/>
      <c r="M23" s="236"/>
      <c r="N23" s="236"/>
      <c r="O23" s="236"/>
      <c r="P23" s="236"/>
      <c r="Q23" s="236"/>
      <c r="R23" s="43"/>
      <c r="S23" s="43"/>
    </row>
    <row r="24" spans="1:19" x14ac:dyDescent="0.2">
      <c r="A24" s="244"/>
      <c r="B24" s="406"/>
      <c r="C24" s="397"/>
      <c r="D24" s="397"/>
      <c r="E24" s="397"/>
      <c r="F24" s="397"/>
      <c r="G24" s="397"/>
      <c r="H24" s="397"/>
      <c r="I24" s="397"/>
      <c r="J24" s="397"/>
      <c r="K24" s="393"/>
      <c r="L24" s="393"/>
      <c r="M24" s="393"/>
    </row>
    <row r="25" spans="1:19" x14ac:dyDescent="0.25">
      <c r="A25" s="233" t="s">
        <v>448</v>
      </c>
      <c r="B25" s="234" t="s">
        <v>449</v>
      </c>
      <c r="C25" s="234" t="s">
        <v>449</v>
      </c>
      <c r="D25" s="197" t="s">
        <v>449</v>
      </c>
      <c r="E25" s="234" t="s">
        <v>449</v>
      </c>
      <c r="F25" s="234" t="s">
        <v>449</v>
      </c>
      <c r="G25" s="245" t="s">
        <v>449</v>
      </c>
      <c r="H25" s="234" t="s">
        <v>449</v>
      </c>
      <c r="I25" s="245" t="s">
        <v>449</v>
      </c>
      <c r="J25" s="245" t="s">
        <v>449</v>
      </c>
    </row>
    <row r="26" spans="1:19" ht="13.95" customHeight="1" x14ac:dyDescent="0.2">
      <c r="A26" s="237" t="s">
        <v>356</v>
      </c>
      <c r="B26" s="227">
        <f>+B4*'2- EMP. REP'!B$6</f>
        <v>115.05997545673334</v>
      </c>
      <c r="C26" s="227">
        <f>+C4*'2- EMP. REP'!C$6</f>
        <v>147.47489974479166</v>
      </c>
      <c r="D26" s="227">
        <f>+D4*'2- EMP. REP'!D$6</f>
        <v>394.213636720431</v>
      </c>
      <c r="E26" s="227">
        <f>+E4*'2- EMP. REP'!E$6</f>
        <v>210.51577858336</v>
      </c>
      <c r="F26" s="227">
        <f>+F4*'2- EMP. REP'!F$6</f>
        <v>39.46686159697169</v>
      </c>
      <c r="G26" s="227">
        <f>+G4*'2- EMP. REP'!G$6</f>
        <v>87.555398138971455</v>
      </c>
      <c r="H26" s="227">
        <f>+H4*'2- EMP. REP'!H$6</f>
        <v>102.38220538581486</v>
      </c>
      <c r="I26" s="227">
        <f>+I4*'2- EMP. REP'!I$6</f>
        <v>71.552726329153856</v>
      </c>
      <c r="J26" s="227">
        <f>+J4*'2- EMP. REP'!J$6</f>
        <v>43.273956155146521</v>
      </c>
      <c r="K26" s="91"/>
    </row>
    <row r="27" spans="1:19" ht="13.95" customHeight="1" x14ac:dyDescent="0.2">
      <c r="A27" s="238" t="s">
        <v>357</v>
      </c>
      <c r="B27" s="246"/>
      <c r="C27" s="246"/>
      <c r="D27" s="247"/>
      <c r="E27" s="246"/>
      <c r="F27" s="246"/>
      <c r="G27" s="246"/>
      <c r="H27" s="246"/>
      <c r="I27" s="246"/>
      <c r="J27" s="246"/>
      <c r="K27" s="91"/>
    </row>
    <row r="28" spans="1:19" ht="13.95" customHeight="1" x14ac:dyDescent="0.2">
      <c r="A28" s="239" t="s">
        <v>358</v>
      </c>
      <c r="B28" s="129">
        <f>+B6*'2- EMP. REP'!B$6</f>
        <v>0.1343759959633902</v>
      </c>
      <c r="C28" s="228">
        <f>+C6*'2- EMP. REP'!C$6</f>
        <v>0.14743403497655108</v>
      </c>
      <c r="D28" s="228">
        <f>+D6*'2- EMP. REP'!D$6</f>
        <v>0.3941044015290206</v>
      </c>
      <c r="E28" s="228">
        <f>+E6*'2- EMP. REP'!E$6</f>
        <v>0.22383374583947382</v>
      </c>
      <c r="F28" s="228">
        <f>+F6*'2- EMP. REP'!F$6</f>
        <v>3.9455925470518079E-2</v>
      </c>
      <c r="G28" s="228">
        <f>+G6*'2- EMP. REP'!G$6</f>
        <v>8.7531136850715952E-2</v>
      </c>
      <c r="H28" s="228">
        <f>+H6*'2- EMP. REP'!H$6</f>
        <v>0.1023538356422023</v>
      </c>
      <c r="I28" s="228">
        <f>+I6*'2- EMP. REP'!I$6</f>
        <v>8.3662680164603195E-2</v>
      </c>
      <c r="J28" s="228">
        <f>+J6*'2- EMP. REP'!J$6</f>
        <v>5.0597864525952552E-2</v>
      </c>
      <c r="K28" s="91"/>
    </row>
    <row r="29" spans="1:19" ht="13.95" customHeight="1" x14ac:dyDescent="0.2">
      <c r="A29" s="239" t="s">
        <v>359</v>
      </c>
      <c r="B29" s="129">
        <f>+B7*'2- EMP. REP'!B$6</f>
        <v>7.0293778777831033</v>
      </c>
      <c r="C29" s="228">
        <f>+C7*'2- EMP. REP'!C$6</f>
        <v>7.7034412772600049</v>
      </c>
      <c r="D29" s="228">
        <f>+D7*'2- EMP. REP'!D$6</f>
        <v>20.591989595695239</v>
      </c>
      <c r="E29" s="228">
        <f>+E7*'2- EMP. REP'!E$6</f>
        <v>11.695331965247112</v>
      </c>
      <c r="F29" s="228">
        <f>+F7*'2- EMP. REP'!F$6</f>
        <v>2.0615755714101227</v>
      </c>
      <c r="G29" s="228">
        <f>+G7*'2- EMP. REP'!G$6</f>
        <v>4.5735095886682027</v>
      </c>
      <c r="H29" s="228">
        <f>+H7*'2- EMP. REP'!H$6</f>
        <v>5.3479969024617153</v>
      </c>
      <c r="I29" s="228">
        <f>+I7*'2- EMP. REP'!I$6</f>
        <v>4.3713823991067837</v>
      </c>
      <c r="J29" s="228">
        <f>+J7*'2- EMP. REP'!J$6</f>
        <v>2.6437428729986894</v>
      </c>
      <c r="K29" s="91"/>
    </row>
    <row r="30" spans="1:19" ht="13.95" customHeight="1" x14ac:dyDescent="0.2">
      <c r="A30" s="239" t="s">
        <v>360</v>
      </c>
      <c r="B30" s="129">
        <f>+B8*'2- EMP. REP'!B$6</f>
        <v>4.6414078202148827</v>
      </c>
      <c r="C30" s="228">
        <f>+C8*'2- EMP. REP'!C$6</f>
        <v>5.0864832321633973</v>
      </c>
      <c r="D30" s="228">
        <f>+D8*'2- EMP. REP'!D$6</f>
        <v>13.596625978648552</v>
      </c>
      <c r="E30" s="228">
        <f>+E8*'2- EMP. REP'!E$6</f>
        <v>7.7222772785803135</v>
      </c>
      <c r="F30" s="228">
        <f>+F8*'2- EMP. REP'!F$6</f>
        <v>1.3612318441070834</v>
      </c>
      <c r="G30" s="228">
        <f>+G8*'2- EMP. REP'!G$6</f>
        <v>3.0198295797451249</v>
      </c>
      <c r="H30" s="228">
        <f>+H8*'2- EMP. REP'!H$6</f>
        <v>3.5312135954528636</v>
      </c>
      <c r="I30" s="228">
        <f>+I8*'2- EMP. REP'!I$6</f>
        <v>2.8863675854573208</v>
      </c>
      <c r="J30" s="228">
        <f>+J8*'2- EMP. REP'!J$6</f>
        <v>1.7456294225063569</v>
      </c>
      <c r="K30" s="91"/>
    </row>
    <row r="31" spans="1:19" ht="13.95" customHeight="1" x14ac:dyDescent="0.2">
      <c r="A31" s="239" t="s">
        <v>361</v>
      </c>
      <c r="B31" s="248">
        <f t="shared" ref="B31:J31" si="9">SUM(B28:B30)</f>
        <v>11.805161693961377</v>
      </c>
      <c r="C31" s="248">
        <f t="shared" si="9"/>
        <v>12.937358544399952</v>
      </c>
      <c r="D31" s="248">
        <f t="shared" si="9"/>
        <v>34.582719975872813</v>
      </c>
      <c r="E31" s="248">
        <f t="shared" si="9"/>
        <v>19.641442989666899</v>
      </c>
      <c r="F31" s="248">
        <f t="shared" si="9"/>
        <v>3.4622633409877244</v>
      </c>
      <c r="G31" s="248">
        <f t="shared" si="9"/>
        <v>7.6808703052640439</v>
      </c>
      <c r="H31" s="248">
        <f t="shared" si="9"/>
        <v>8.981564333556781</v>
      </c>
      <c r="I31" s="248">
        <f t="shared" si="9"/>
        <v>7.3414126647287077</v>
      </c>
      <c r="J31" s="248">
        <f t="shared" si="9"/>
        <v>4.4399701600309989</v>
      </c>
      <c r="K31" s="91"/>
    </row>
    <row r="32" spans="1:19" ht="13.95" customHeight="1" x14ac:dyDescent="0.2">
      <c r="A32" s="238" t="s">
        <v>362</v>
      </c>
      <c r="B32" s="246"/>
      <c r="C32" s="246"/>
      <c r="D32" s="247"/>
      <c r="E32" s="246"/>
      <c r="F32" s="246"/>
      <c r="G32" s="246"/>
      <c r="H32" s="246"/>
      <c r="I32" s="246"/>
      <c r="J32" s="246"/>
      <c r="K32" s="91"/>
    </row>
    <row r="33" spans="1:17" ht="13.95" customHeight="1" x14ac:dyDescent="0.2">
      <c r="A33" s="239" t="s">
        <v>363</v>
      </c>
      <c r="B33" s="129">
        <f>+B11*'2- EMP. REP'!B$6</f>
        <v>0.2669843293818655</v>
      </c>
      <c r="C33" s="228">
        <f>+C11*'2- EMP. REP'!C$6</f>
        <v>0.3660025487461302</v>
      </c>
      <c r="D33" s="228">
        <f>+D11*'2- EMP. REP'!D$6</f>
        <v>0.97835764621534804</v>
      </c>
      <c r="E33" s="228">
        <f>+E11*'2- EMP. REP'!E$6</f>
        <v>0.55566352166868005</v>
      </c>
      <c r="F33" s="228">
        <f>+F11*'2- EMP. REP'!F$6</f>
        <v>9.7948681168793642E-2</v>
      </c>
      <c r="G33" s="228">
        <f>+G11*'2- EMP. REP'!G$6</f>
        <v>0.21716600714104464</v>
      </c>
      <c r="H33" s="228">
        <f>+H11*'2- EMP. REP'!H$6</f>
        <v>0.25394133564033566</v>
      </c>
      <c r="I33" s="228">
        <f>+I11*'2- EMP. REP'!I$6</f>
        <v>0.16613580534411809</v>
      </c>
      <c r="J33" s="228">
        <f>+J11*'2- EMP. REP'!J$6</f>
        <v>0.10047630502839487</v>
      </c>
      <c r="K33" s="91"/>
    </row>
    <row r="34" spans="1:17" ht="13.95" customHeight="1" x14ac:dyDescent="0.2">
      <c r="A34" s="239" t="s">
        <v>364</v>
      </c>
      <c r="B34" s="129">
        <f>+B12*'2- EMP. REP'!B$6</f>
        <v>8.2283925042232759</v>
      </c>
      <c r="C34" s="228">
        <f>+C12*'2- EMP. REP'!C$6</f>
        <v>11.266282867992754</v>
      </c>
      <c r="D34" s="228">
        <f>+D12*'2- EMP. REP'!D$6</f>
        <v>30.115784783704282</v>
      </c>
      <c r="E34" s="228">
        <f>+E12*'2- EMP. REP'!E$6</f>
        <v>17.104422999173895</v>
      </c>
      <c r="F34" s="228">
        <f>+F12*'2- EMP. REP'!F$6</f>
        <v>3.0150542731873036</v>
      </c>
      <c r="G34" s="228">
        <f>+G12*'2- EMP. REP'!G$6</f>
        <v>6.6887577734272439</v>
      </c>
      <c r="H34" s="228">
        <f>+H12*'2- EMP. REP'!H$6</f>
        <v>7.8214454698502562</v>
      </c>
      <c r="I34" s="228">
        <f>+I12*'2- EMP. REP'!I$6</f>
        <v>5.1170175784101861</v>
      </c>
      <c r="J34" s="228">
        <f>+J12*'2- EMP. REP'!J$6</f>
        <v>3.0946912255251724</v>
      </c>
      <c r="K34" s="91"/>
    </row>
    <row r="35" spans="1:17" ht="13.95" customHeight="1" x14ac:dyDescent="0.2">
      <c r="A35" s="239" t="s">
        <v>365</v>
      </c>
      <c r="B35" s="129">
        <f>+B13*'2- EMP. REP'!B$6</f>
        <v>0.90832904267399805</v>
      </c>
      <c r="C35" s="228">
        <f>+C13*'2- EMP. REP'!C$6</f>
        <v>1.2436805763368624</v>
      </c>
      <c r="D35" s="228">
        <f>+D13*'2- EMP. REP'!D$6</f>
        <v>3.324469748850472</v>
      </c>
      <c r="E35" s="228">
        <f>+E13*'2- EMP. REP'!E$6</f>
        <v>1.8881505908178977</v>
      </c>
      <c r="F35" s="228">
        <f>+F13*'2- EMP. REP'!F$6</f>
        <v>0.33283066652067633</v>
      </c>
      <c r="G35" s="228">
        <f>+G13*'2- EMP. REP'!G$6</f>
        <v>0.73836936459911129</v>
      </c>
      <c r="H35" s="228">
        <f>+H13*'2- EMP. REP'!H$6</f>
        <v>0.86340631810035284</v>
      </c>
      <c r="I35" s="228">
        <f>+I13*'2- EMP. REP'!I$6</f>
        <v>0.56486557683748806</v>
      </c>
      <c r="J35" s="228">
        <f>+J13*'2- EMP. REP'!J$6</f>
        <v>0.34162175866186972</v>
      </c>
      <c r="K35" s="91"/>
      <c r="L35" s="229"/>
      <c r="M35" s="229"/>
    </row>
    <row r="36" spans="1:17" ht="13.95" customHeight="1" x14ac:dyDescent="0.2">
      <c r="A36" s="239" t="s">
        <v>360</v>
      </c>
      <c r="B36" s="129">
        <f>+B14*'2- EMP. REP'!B$6</f>
        <v>3.3127328863064349</v>
      </c>
      <c r="C36" s="228">
        <f>+C14*'2- EMP. REP'!C$6</f>
        <v>4.5357808960368731</v>
      </c>
      <c r="D36" s="228">
        <f>+D14*'2- EMP. REP'!D$6</f>
        <v>12.124549231686457</v>
      </c>
      <c r="E36" s="228">
        <f>+E14*'2- EMP. REP'!E$6</f>
        <v>6.8862033757509664</v>
      </c>
      <c r="F36" s="228">
        <f>+F14*'2- EMP. REP'!F$6</f>
        <v>1.2138542705766284</v>
      </c>
      <c r="G36" s="228">
        <f>+G14*'2- EMP. REP'!G$6</f>
        <v>2.692879282582286</v>
      </c>
      <c r="H36" s="228">
        <f>+H14*'2- EMP. REP'!H$6</f>
        <v>3.1488968772769281</v>
      </c>
      <c r="I36" s="228">
        <f>+I14*'2- EMP. REP'!I$6</f>
        <v>2.0601001232144878</v>
      </c>
      <c r="J36" s="228">
        <f>+J14*'2- EMP. REP'!J$6</f>
        <v>1.245915941722439</v>
      </c>
      <c r="K36" s="91"/>
      <c r="L36" s="229"/>
      <c r="M36" s="229"/>
    </row>
    <row r="37" spans="1:17" ht="13.95" customHeight="1" x14ac:dyDescent="0.2">
      <c r="A37" s="239" t="s">
        <v>366</v>
      </c>
      <c r="B37" s="248">
        <f t="shared" ref="B37:J37" si="10">SUM(B33:B36)</f>
        <v>12.716438762585573</v>
      </c>
      <c r="C37" s="248">
        <f t="shared" si="10"/>
        <v>17.411746889112617</v>
      </c>
      <c r="D37" s="248">
        <f t="shared" si="10"/>
        <v>46.543161410456563</v>
      </c>
      <c r="E37" s="248">
        <f t="shared" si="10"/>
        <v>26.43444048741144</v>
      </c>
      <c r="F37" s="248">
        <f t="shared" si="10"/>
        <v>4.6596878914534017</v>
      </c>
      <c r="G37" s="248">
        <f t="shared" si="10"/>
        <v>10.337172427749685</v>
      </c>
      <c r="H37" s="248">
        <f t="shared" si="10"/>
        <v>12.087690000867873</v>
      </c>
      <c r="I37" s="248">
        <f t="shared" si="10"/>
        <v>7.9081190838062803</v>
      </c>
      <c r="J37" s="248">
        <f t="shared" si="10"/>
        <v>4.7827052309378759</v>
      </c>
      <c r="K37" s="432"/>
      <c r="L37" s="232"/>
      <c r="M37" s="232"/>
      <c r="N37" s="232"/>
      <c r="O37" s="232"/>
    </row>
    <row r="38" spans="1:17" ht="13.95" customHeight="1" x14ac:dyDescent="0.2">
      <c r="A38" s="238" t="s">
        <v>367</v>
      </c>
      <c r="B38" s="246"/>
      <c r="C38" s="246"/>
      <c r="D38" s="247"/>
      <c r="E38" s="246"/>
      <c r="F38" s="246"/>
      <c r="G38" s="246"/>
      <c r="H38" s="246"/>
      <c r="I38" s="246"/>
      <c r="J38" s="246"/>
      <c r="K38" s="91"/>
      <c r="L38" s="229"/>
      <c r="M38" s="229"/>
    </row>
    <row r="39" spans="1:17" ht="13.95" customHeight="1" x14ac:dyDescent="0.2">
      <c r="A39" s="239" t="s">
        <v>368</v>
      </c>
      <c r="B39" s="129">
        <f>+B17*'2- EMP. REP'!B$6</f>
        <v>0.21652046418289594</v>
      </c>
      <c r="C39" s="228">
        <f>+C17*'2- EMP. REP'!C$6</f>
        <v>0.28470352780374997</v>
      </c>
      <c r="D39" s="228">
        <f>+D17*'2- EMP. REP'!D$6</f>
        <v>0.76103807005040092</v>
      </c>
      <c r="E39" s="228">
        <f>+E17*'2- EMP. REP'!E$6</f>
        <v>0.43223565633340005</v>
      </c>
      <c r="F39" s="228">
        <f>+F17*'2- EMP. REP'!F$6</f>
        <v>7.6191641746798433E-2</v>
      </c>
      <c r="G39" s="228">
        <f>+G17*'2- EMP. REP'!G$6</f>
        <v>0.16893881301101313</v>
      </c>
      <c r="H39" s="228">
        <f>+H17*'2- EMP. REP'!H$6</f>
        <v>0.19754725144274818</v>
      </c>
      <c r="I39" s="228">
        <f>+I17*'2- EMP. REP'!I$6</f>
        <v>0.13467875880454616</v>
      </c>
      <c r="J39" s="228">
        <f>+J17*'2- EMP. REP'!J$6</f>
        <v>8.1451581267880449E-2</v>
      </c>
      <c r="K39" s="91"/>
    </row>
    <row r="40" spans="1:17" ht="13.95" customHeight="1" x14ac:dyDescent="0.2">
      <c r="A40" s="239" t="s">
        <v>369</v>
      </c>
      <c r="B40" s="129">
        <f>+B18*'2- EMP. REP'!B$6</f>
        <v>0.32485419403027094</v>
      </c>
      <c r="C40" s="228">
        <f>+C18*'2- EMP. REP'!C$6</f>
        <v>0.42683095550817596</v>
      </c>
      <c r="D40" s="228">
        <f>+D18*'2- EMP. REP'!D$6</f>
        <v>1.1409574342950317</v>
      </c>
      <c r="E40" s="228">
        <f>+E18*'2- EMP. REP'!E$6</f>
        <v>0.64801295136078341</v>
      </c>
      <c r="F40" s="228">
        <f>+F18*'2- EMP. REP'!F$6</f>
        <v>0.11422742633150559</v>
      </c>
      <c r="G40" s="228">
        <f>+G18*'2- EMP. REP'!G$6</f>
        <v>0.25340823633193077</v>
      </c>
      <c r="H40" s="228">
        <f>+H18*'2- EMP. REP'!H$6</f>
        <v>0.29632089682708884</v>
      </c>
      <c r="I40" s="228">
        <f>+I18*'2- EMP. REP'!I$6</f>
        <v>0.20201814879637683</v>
      </c>
      <c r="J40" s="228">
        <f>+J18*'2- EMP. REP'!J$6</f>
        <v>0.12217737830621747</v>
      </c>
      <c r="K40" s="91"/>
    </row>
    <row r="41" spans="1:17" ht="13.95" customHeight="1" x14ac:dyDescent="0.25">
      <c r="A41" s="239" t="s">
        <v>370</v>
      </c>
      <c r="B41" s="129">
        <f>+B19*'2- EMP. REP'!B$6</f>
        <v>4.1689621567218103</v>
      </c>
      <c r="C41" s="228">
        <f>+C19*'2- EMP. REP'!C$6</f>
        <v>5.4776639290215909</v>
      </c>
      <c r="D41" s="228">
        <f>+D19*'2- EMP. REP'!D$6</f>
        <v>14.642287073452906</v>
      </c>
      <c r="E41" s="228">
        <f>+E19*'2- EMP. REP'!E$6</f>
        <v>8.316166209130051</v>
      </c>
      <c r="F41" s="228">
        <f>+F19*'2- EMP. REP'!F$6</f>
        <v>1.4659186379209881</v>
      </c>
      <c r="G41" s="228">
        <f>+G19*'2- EMP. REP'!G$6</f>
        <v>3.2520723662597772</v>
      </c>
      <c r="H41" s="228">
        <f>+H19*'2- EMP. REP'!H$6</f>
        <v>3.8027848426143058</v>
      </c>
      <c r="I41" s="228">
        <f>+I19*'2- EMP. REP'!I$6</f>
        <v>2.5925662428868361</v>
      </c>
      <c r="J41" s="228">
        <f>+J19*'2- EMP. REP'!J$6</f>
        <v>1.5679430215964574</v>
      </c>
      <c r="K41" s="90"/>
    </row>
    <row r="42" spans="1:17" ht="13.95" customHeight="1" x14ac:dyDescent="0.2">
      <c r="A42" s="239" t="s">
        <v>371</v>
      </c>
      <c r="B42" s="129">
        <f>+B20*'2- EMP. REP'!B$6</f>
        <v>0.97456258209081281</v>
      </c>
      <c r="C42" s="228">
        <f>+C20*'2- EMP. REP'!C$6</f>
        <v>1.2804928665245277</v>
      </c>
      <c r="D42" s="228">
        <f>+D20*'2- EMP. REP'!D$6</f>
        <v>3.4228723028850947</v>
      </c>
      <c r="E42" s="228">
        <f>+E20*'2- EMP. REP'!E$6</f>
        <v>1.9440388540823497</v>
      </c>
      <c r="F42" s="228">
        <f>+F20*'2- EMP. REP'!F$6</f>
        <v>0.3426822789945167</v>
      </c>
      <c r="G42" s="228">
        <f>+G20*'2- EMP. REP'!G$6</f>
        <v>0.76022470899579209</v>
      </c>
      <c r="H42" s="228">
        <f>+H20*'2- EMP. REP'!H$6</f>
        <v>0.88896269048126619</v>
      </c>
      <c r="I42" s="228">
        <f>+I20*'2- EMP. REP'!I$6</f>
        <v>0.60605444638913042</v>
      </c>
      <c r="J42" s="228">
        <f>+J20*'2- EMP. REP'!J$6</f>
        <v>0.36653213491865239</v>
      </c>
      <c r="K42" s="91"/>
    </row>
    <row r="43" spans="1:17" x14ac:dyDescent="0.2">
      <c r="A43" s="249" t="s">
        <v>360</v>
      </c>
      <c r="B43" s="129">
        <f>+B21*'2- EMP. REP'!B$6</f>
        <v>1.1911308707041894</v>
      </c>
      <c r="C43" s="228">
        <f>+C21*'2- EMP. REP'!C$6</f>
        <v>1.5650453041027372</v>
      </c>
      <c r="D43" s="228">
        <f>+D21*'2- EMP. REP'!D$6</f>
        <v>4.183506495208599</v>
      </c>
      <c r="E43" s="228">
        <f>+E21*'2- EMP. REP'!E$6</f>
        <v>2.376045186468732</v>
      </c>
      <c r="F43" s="228">
        <f>+F21*'2- EMP. REP'!F$6</f>
        <v>0.41883348635532552</v>
      </c>
      <c r="G43" s="228">
        <f>+G21*'2- EMP. REP'!G$6</f>
        <v>0.92916262322180154</v>
      </c>
      <c r="H43" s="228">
        <f>+H21*'2- EMP. REP'!H$6</f>
        <v>1.0865088909369502</v>
      </c>
      <c r="I43" s="228">
        <f>+I21*'2- EMP. REP'!I$6</f>
        <v>0.74073248212844123</v>
      </c>
      <c r="J43" s="228">
        <f>+J21*'2- EMP. REP'!J$6</f>
        <v>0.44798327888812506</v>
      </c>
      <c r="K43" s="91"/>
    </row>
    <row r="44" spans="1:17" x14ac:dyDescent="0.2">
      <c r="A44" s="238" t="s">
        <v>63</v>
      </c>
      <c r="B44" s="453">
        <f t="shared" ref="B44:J44" si="11">SUM(B39:B43)</f>
        <v>6.8760302677299787</v>
      </c>
      <c r="C44" s="453">
        <f t="shared" si="11"/>
        <v>9.0347365829607824</v>
      </c>
      <c r="D44" s="454">
        <f t="shared" si="11"/>
        <v>24.150661375892028</v>
      </c>
      <c r="E44" s="453">
        <f t="shared" si="11"/>
        <v>13.716498857375315</v>
      </c>
      <c r="F44" s="453">
        <f t="shared" si="11"/>
        <v>2.4178534713491344</v>
      </c>
      <c r="G44" s="453">
        <f t="shared" si="11"/>
        <v>5.3638067478203144</v>
      </c>
      <c r="H44" s="453">
        <f t="shared" si="11"/>
        <v>6.2721245723023591</v>
      </c>
      <c r="I44" s="453">
        <f t="shared" si="11"/>
        <v>4.2760500790053309</v>
      </c>
      <c r="J44" s="453">
        <f t="shared" si="11"/>
        <v>2.5860873949773326</v>
      </c>
      <c r="K44" s="91"/>
    </row>
    <row r="45" spans="1:17" ht="17.399999999999999" customHeight="1" x14ac:dyDescent="0.25">
      <c r="A45" s="238" t="s">
        <v>372</v>
      </c>
      <c r="B45" s="496">
        <f>+B44+B37+B31+B26</f>
        <v>146.45760618101028</v>
      </c>
      <c r="C45" s="546">
        <f>+C44+C37+C31+C26</f>
        <v>186.85874176126501</v>
      </c>
      <c r="D45" s="546">
        <f>+D44+D37+D31+D26</f>
        <v>499.49017948265237</v>
      </c>
      <c r="E45" s="546">
        <f>+E44+E37+E31+E26</f>
        <v>270.30816091781367</v>
      </c>
      <c r="F45" s="546">
        <f t="shared" ref="F45:J45" si="12">+F44+F37+F31+F26</f>
        <v>50.00666630076195</v>
      </c>
      <c r="G45" s="546">
        <f t="shared" si="12"/>
        <v>110.9372476198055</v>
      </c>
      <c r="H45" s="546">
        <f t="shared" si="12"/>
        <v>129.72358429254189</v>
      </c>
      <c r="I45" s="546">
        <f t="shared" si="12"/>
        <v>91.078308156694177</v>
      </c>
      <c r="J45" s="546">
        <f t="shared" si="12"/>
        <v>55.082718941092729</v>
      </c>
      <c r="K45" s="231"/>
      <c r="L45" s="65"/>
      <c r="M45" s="65"/>
    </row>
    <row r="46" spans="1:17" ht="9" customHeight="1" x14ac:dyDescent="0.25">
      <c r="A46" s="133"/>
      <c r="B46" s="437"/>
      <c r="C46" s="229"/>
      <c r="D46" s="230"/>
      <c r="E46" s="229"/>
      <c r="F46" s="229"/>
      <c r="G46" s="229"/>
      <c r="H46" s="229"/>
      <c r="I46" s="229"/>
      <c r="J46" s="229"/>
    </row>
    <row r="47" spans="1:17" ht="10.8" customHeight="1" x14ac:dyDescent="0.25">
      <c r="A47" s="133"/>
    </row>
    <row r="48" spans="1:17" s="20" customFormat="1" ht="13.8" customHeight="1" x14ac:dyDescent="0.2">
      <c r="A48" s="723" t="s">
        <v>298</v>
      </c>
      <c r="B48" s="723"/>
      <c r="C48" s="234" t="s">
        <v>299</v>
      </c>
      <c r="D48" s="197" t="s">
        <v>300</v>
      </c>
      <c r="E48" s="250" t="s">
        <v>445</v>
      </c>
      <c r="F48" s="234" t="s">
        <v>446</v>
      </c>
      <c r="G48" s="234" t="s">
        <v>447</v>
      </c>
      <c r="H48" s="234" t="s">
        <v>301</v>
      </c>
      <c r="I48" s="234" t="s">
        <v>302</v>
      </c>
      <c r="J48" s="235" t="s">
        <v>303</v>
      </c>
      <c r="K48" s="91"/>
      <c r="L48" s="64"/>
      <c r="M48" s="64"/>
      <c r="N48" s="65"/>
      <c r="O48" s="65"/>
      <c r="P48" s="65"/>
      <c r="Q48" s="65"/>
    </row>
    <row r="49" spans="1:18" s="20" customFormat="1" ht="13.8" customHeight="1" x14ac:dyDescent="0.25">
      <c r="A49" s="244"/>
      <c r="B49" s="403"/>
      <c r="C49" s="403"/>
      <c r="D49" s="403"/>
      <c r="E49" s="403"/>
      <c r="F49" s="403"/>
      <c r="G49" s="403"/>
      <c r="H49" s="403"/>
      <c r="I49" s="403"/>
      <c r="J49" s="403"/>
      <c r="K49" s="389"/>
      <c r="L49" s="35"/>
      <c r="M49" s="65"/>
      <c r="N49" s="65"/>
      <c r="O49" s="65"/>
      <c r="P49" s="65"/>
      <c r="Q49" s="65"/>
      <c r="R49" s="65"/>
    </row>
    <row r="50" spans="1:18" ht="20.25" customHeight="1" x14ac:dyDescent="0.25">
      <c r="A50" s="724" t="s">
        <v>373</v>
      </c>
      <c r="B50" s="724"/>
      <c r="C50" s="724"/>
      <c r="D50" s="724"/>
      <c r="E50" s="724"/>
      <c r="F50" s="724"/>
      <c r="G50" s="724"/>
      <c r="H50" s="724"/>
      <c r="I50" s="724"/>
      <c r="J50" s="724"/>
      <c r="K50" s="273"/>
      <c r="L50" s="568"/>
    </row>
    <row r="51" spans="1:18" ht="10.199999999999999" customHeight="1" x14ac:dyDescent="0.25">
      <c r="A51" s="239" t="s">
        <v>320</v>
      </c>
      <c r="B51" s="391">
        <v>972700</v>
      </c>
      <c r="C51" s="391">
        <f>+B51</f>
        <v>972700</v>
      </c>
      <c r="D51" s="391">
        <f t="shared" ref="D51:I51" si="13">+C51</f>
        <v>972700</v>
      </c>
      <c r="E51" s="391">
        <f t="shared" si="13"/>
        <v>972700</v>
      </c>
      <c r="F51" s="391">
        <f t="shared" si="13"/>
        <v>972700</v>
      </c>
      <c r="G51" s="391">
        <f t="shared" si="13"/>
        <v>972700</v>
      </c>
      <c r="H51" s="391">
        <f t="shared" si="13"/>
        <v>972700</v>
      </c>
      <c r="I51" s="391">
        <f t="shared" si="13"/>
        <v>972700</v>
      </c>
      <c r="J51" s="391">
        <f t="shared" ref="J51" si="14">+I51</f>
        <v>972700</v>
      </c>
      <c r="K51" s="506"/>
      <c r="L51" s="511"/>
      <c r="M51" s="568"/>
      <c r="N51" s="65"/>
    </row>
    <row r="52" spans="1:18" ht="10.199999999999999" customHeight="1" x14ac:dyDescent="0.25">
      <c r="A52" s="239" t="s">
        <v>321</v>
      </c>
      <c r="B52" s="391">
        <v>274000</v>
      </c>
      <c r="C52" s="391">
        <f>+B52</f>
        <v>274000</v>
      </c>
      <c r="D52" s="391">
        <f t="shared" ref="D52:J53" si="15">+C52</f>
        <v>274000</v>
      </c>
      <c r="E52" s="391">
        <f t="shared" si="15"/>
        <v>274000</v>
      </c>
      <c r="F52" s="391">
        <f t="shared" si="15"/>
        <v>274000</v>
      </c>
      <c r="G52" s="391">
        <f t="shared" si="15"/>
        <v>274000</v>
      </c>
      <c r="H52" s="391">
        <f t="shared" si="15"/>
        <v>274000</v>
      </c>
      <c r="I52" s="391">
        <f t="shared" si="15"/>
        <v>274000</v>
      </c>
      <c r="J52" s="391">
        <f t="shared" si="15"/>
        <v>274000</v>
      </c>
      <c r="K52" s="506"/>
      <c r="L52" s="511"/>
    </row>
    <row r="53" spans="1:18" ht="10.199999999999999" customHeight="1" x14ac:dyDescent="0.25">
      <c r="A53" s="239" t="s">
        <v>374</v>
      </c>
      <c r="B53" s="391">
        <v>123300</v>
      </c>
      <c r="C53" s="391">
        <f>+B53</f>
        <v>123300</v>
      </c>
      <c r="D53" s="391">
        <f t="shared" si="15"/>
        <v>123300</v>
      </c>
      <c r="E53" s="391">
        <f t="shared" si="15"/>
        <v>123300</v>
      </c>
      <c r="F53" s="391">
        <f t="shared" si="15"/>
        <v>123300</v>
      </c>
      <c r="G53" s="391">
        <f t="shared" si="15"/>
        <v>123300</v>
      </c>
      <c r="H53" s="391">
        <f t="shared" si="15"/>
        <v>123300</v>
      </c>
      <c r="I53" s="391">
        <f t="shared" si="15"/>
        <v>123300</v>
      </c>
      <c r="J53" s="391">
        <f t="shared" si="15"/>
        <v>123300</v>
      </c>
      <c r="K53" s="506"/>
      <c r="L53" s="511"/>
    </row>
    <row r="54" spans="1:18" ht="10.199999999999999" customHeight="1" x14ac:dyDescent="0.25">
      <c r="A54" s="239" t="s">
        <v>375</v>
      </c>
      <c r="B54" s="279">
        <f t="shared" ref="B54:G54" si="16">0.015*(B51+B52+B53)</f>
        <v>20550</v>
      </c>
      <c r="C54" s="279">
        <f t="shared" si="16"/>
        <v>20550</v>
      </c>
      <c r="D54" s="279">
        <f t="shared" si="16"/>
        <v>20550</v>
      </c>
      <c r="E54" s="279">
        <f t="shared" si="16"/>
        <v>20550</v>
      </c>
      <c r="F54" s="279">
        <f t="shared" si="16"/>
        <v>20550</v>
      </c>
      <c r="G54" s="279">
        <f t="shared" si="16"/>
        <v>20550</v>
      </c>
      <c r="H54" s="279">
        <f t="shared" ref="C54:J58" si="17">+G54</f>
        <v>20550</v>
      </c>
      <c r="I54" s="279">
        <f t="shared" si="17"/>
        <v>20550</v>
      </c>
      <c r="J54" s="279">
        <f t="shared" si="17"/>
        <v>20550</v>
      </c>
      <c r="K54" s="510"/>
      <c r="L54" s="510"/>
      <c r="M54" s="397"/>
    </row>
    <row r="55" spans="1:18" ht="10.199999999999999" customHeight="1" x14ac:dyDescent="0.2">
      <c r="A55" s="239" t="s">
        <v>376</v>
      </c>
      <c r="B55" s="130">
        <v>11</v>
      </c>
      <c r="C55" s="130">
        <f>+B55</f>
        <v>11</v>
      </c>
      <c r="D55" s="130">
        <f t="shared" si="17"/>
        <v>11</v>
      </c>
      <c r="E55" s="130">
        <f t="shared" si="17"/>
        <v>11</v>
      </c>
      <c r="F55" s="130">
        <f t="shared" si="17"/>
        <v>11</v>
      </c>
      <c r="G55" s="130">
        <f t="shared" si="17"/>
        <v>11</v>
      </c>
      <c r="H55" s="130">
        <f t="shared" si="17"/>
        <v>11</v>
      </c>
      <c r="I55" s="130">
        <f t="shared" si="17"/>
        <v>11</v>
      </c>
      <c r="J55" s="130">
        <f t="shared" si="17"/>
        <v>11</v>
      </c>
      <c r="K55" s="91"/>
    </row>
    <row r="56" spans="1:18" ht="10.199999999999999" customHeight="1" x14ac:dyDescent="0.2">
      <c r="A56" s="239" t="s">
        <v>377</v>
      </c>
      <c r="B56" s="279">
        <f t="shared" ref="B56:G56" si="18">+B55*B54</f>
        <v>226050</v>
      </c>
      <c r="C56" s="279">
        <f t="shared" si="18"/>
        <v>226050</v>
      </c>
      <c r="D56" s="279">
        <f t="shared" si="18"/>
        <v>226050</v>
      </c>
      <c r="E56" s="279">
        <f t="shared" si="18"/>
        <v>226050</v>
      </c>
      <c r="F56" s="279">
        <f t="shared" si="18"/>
        <v>226050</v>
      </c>
      <c r="G56" s="279">
        <f t="shared" si="18"/>
        <v>226050</v>
      </c>
      <c r="H56" s="279">
        <f t="shared" si="17"/>
        <v>226050</v>
      </c>
      <c r="I56" s="279">
        <f t="shared" si="17"/>
        <v>226050</v>
      </c>
      <c r="J56" s="279">
        <f t="shared" si="17"/>
        <v>226050</v>
      </c>
      <c r="K56" s="91"/>
    </row>
    <row r="57" spans="1:18" ht="10.199999999999999" customHeight="1" x14ac:dyDescent="0.25">
      <c r="A57" s="239" t="s">
        <v>378</v>
      </c>
      <c r="B57" s="253">
        <f>+B51+B53+B56+(B52*B58)</f>
        <v>1584727.2239999999</v>
      </c>
      <c r="C57" s="253">
        <f t="shared" si="17"/>
        <v>1584727.2239999999</v>
      </c>
      <c r="D57" s="253">
        <f t="shared" si="17"/>
        <v>1584727.2239999999</v>
      </c>
      <c r="E57" s="253">
        <f t="shared" si="17"/>
        <v>1584727.2239999999</v>
      </c>
      <c r="F57" s="253">
        <f t="shared" si="17"/>
        <v>1584727.2239999999</v>
      </c>
      <c r="G57" s="253">
        <f>+G51+G53+G56+(G52*G58)</f>
        <v>1584727.2239999999</v>
      </c>
      <c r="H57" s="253">
        <f t="shared" si="17"/>
        <v>1584727.2239999999</v>
      </c>
      <c r="I57" s="253">
        <f t="shared" si="17"/>
        <v>1584727.2239999999</v>
      </c>
      <c r="J57" s="253">
        <f t="shared" si="17"/>
        <v>1584727.2239999999</v>
      </c>
      <c r="K57" s="231"/>
    </row>
    <row r="58" spans="1:18" ht="10.199999999999999" customHeight="1" x14ac:dyDescent="0.2">
      <c r="A58" s="239" t="s">
        <v>379</v>
      </c>
      <c r="B58" s="254">
        <v>0.95867599999999997</v>
      </c>
      <c r="C58" s="254">
        <f>+B58</f>
        <v>0.95867599999999997</v>
      </c>
      <c r="D58" s="254">
        <f t="shared" si="17"/>
        <v>0.95867599999999997</v>
      </c>
      <c r="E58" s="254">
        <f t="shared" si="17"/>
        <v>0.95867599999999997</v>
      </c>
      <c r="F58" s="254">
        <f t="shared" si="17"/>
        <v>0.95867599999999997</v>
      </c>
      <c r="G58" s="254">
        <f t="shared" si="17"/>
        <v>0.95867599999999997</v>
      </c>
      <c r="H58" s="254">
        <f t="shared" si="17"/>
        <v>0.95867599999999997</v>
      </c>
      <c r="I58" s="254">
        <f t="shared" si="17"/>
        <v>0.95867599999999997</v>
      </c>
      <c r="J58" s="254">
        <f t="shared" si="17"/>
        <v>0.95867599999999997</v>
      </c>
      <c r="K58" s="91"/>
    </row>
    <row r="59" spans="1:18" ht="21" customHeight="1" x14ac:dyDescent="0.25">
      <c r="A59" s="509" t="s">
        <v>380</v>
      </c>
      <c r="B59" s="530"/>
      <c r="C59" s="530"/>
      <c r="D59" s="530"/>
      <c r="E59" s="530"/>
      <c r="F59" s="530"/>
      <c r="G59" s="530"/>
      <c r="H59" s="530"/>
      <c r="I59" s="530"/>
      <c r="J59" s="530"/>
      <c r="K59" s="273"/>
      <c r="L59" s="273"/>
    </row>
    <row r="60" spans="1:18" ht="10.199999999999999" customHeight="1" x14ac:dyDescent="0.25">
      <c r="A60" s="239" t="s">
        <v>381</v>
      </c>
      <c r="B60" s="391">
        <v>13000</v>
      </c>
      <c r="C60" s="391">
        <f>+B60</f>
        <v>13000</v>
      </c>
      <c r="D60" s="391">
        <f t="shared" ref="D60:J60" si="19">+C60</f>
        <v>13000</v>
      </c>
      <c r="E60" s="391">
        <f t="shared" si="19"/>
        <v>13000</v>
      </c>
      <c r="F60" s="391">
        <f t="shared" si="19"/>
        <v>13000</v>
      </c>
      <c r="G60" s="391">
        <f t="shared" si="19"/>
        <v>13000</v>
      </c>
      <c r="H60" s="391">
        <f t="shared" si="19"/>
        <v>13000</v>
      </c>
      <c r="I60" s="391">
        <f t="shared" si="19"/>
        <v>13000</v>
      </c>
      <c r="J60" s="391">
        <f t="shared" si="19"/>
        <v>13000</v>
      </c>
      <c r="K60" s="569"/>
      <c r="L60" s="569"/>
      <c r="N60" s="65"/>
      <c r="O60" s="65"/>
    </row>
    <row r="61" spans="1:18" ht="10.199999999999999" customHeight="1" x14ac:dyDescent="0.2">
      <c r="A61" s="239" t="s">
        <v>382</v>
      </c>
      <c r="B61" s="127">
        <v>21</v>
      </c>
      <c r="C61" s="123">
        <f t="shared" ref="C61:J65" si="20">+B61</f>
        <v>21</v>
      </c>
      <c r="D61" s="123">
        <f t="shared" si="20"/>
        <v>21</v>
      </c>
      <c r="E61" s="123">
        <f t="shared" si="20"/>
        <v>21</v>
      </c>
      <c r="F61" s="123">
        <f t="shared" si="20"/>
        <v>21</v>
      </c>
      <c r="G61" s="123">
        <f t="shared" si="20"/>
        <v>21</v>
      </c>
      <c r="H61" s="123">
        <f t="shared" si="20"/>
        <v>21</v>
      </c>
      <c r="I61" s="123">
        <f t="shared" si="20"/>
        <v>21</v>
      </c>
      <c r="J61" s="123">
        <f t="shared" si="20"/>
        <v>21</v>
      </c>
      <c r="K61" s="91"/>
      <c r="N61" s="65"/>
      <c r="O61" s="65"/>
    </row>
    <row r="62" spans="1:18" ht="10.199999999999999" customHeight="1" x14ac:dyDescent="0.2">
      <c r="A62" s="239" t="s">
        <v>383</v>
      </c>
      <c r="B62" s="261">
        <f>+B61*B60</f>
        <v>273000</v>
      </c>
      <c r="C62" s="279">
        <f t="shared" si="20"/>
        <v>273000</v>
      </c>
      <c r="D62" s="279">
        <f t="shared" si="20"/>
        <v>273000</v>
      </c>
      <c r="E62" s="279">
        <f t="shared" si="20"/>
        <v>273000</v>
      </c>
      <c r="F62" s="279">
        <f t="shared" si="20"/>
        <v>273000</v>
      </c>
      <c r="G62" s="261">
        <f>+G61*G60</f>
        <v>273000</v>
      </c>
      <c r="H62" s="279">
        <f t="shared" si="20"/>
        <v>273000</v>
      </c>
      <c r="I62" s="279">
        <f t="shared" si="20"/>
        <v>273000</v>
      </c>
      <c r="J62" s="279">
        <f t="shared" si="20"/>
        <v>273000</v>
      </c>
      <c r="K62" s="91"/>
      <c r="N62" s="65"/>
      <c r="O62" s="65"/>
    </row>
    <row r="63" spans="1:18" ht="10.199999999999999" customHeight="1" x14ac:dyDescent="0.2">
      <c r="A63" s="239" t="s">
        <v>384</v>
      </c>
      <c r="B63" s="252">
        <v>0</v>
      </c>
      <c r="C63" s="252">
        <f t="shared" si="20"/>
        <v>0</v>
      </c>
      <c r="D63" s="252">
        <f t="shared" si="20"/>
        <v>0</v>
      </c>
      <c r="E63" s="252">
        <f t="shared" si="20"/>
        <v>0</v>
      </c>
      <c r="F63" s="252">
        <f t="shared" si="20"/>
        <v>0</v>
      </c>
      <c r="G63" s="252">
        <f t="shared" si="20"/>
        <v>0</v>
      </c>
      <c r="H63" s="252">
        <f t="shared" si="20"/>
        <v>0</v>
      </c>
      <c r="I63" s="252">
        <f t="shared" si="20"/>
        <v>0</v>
      </c>
      <c r="J63" s="252">
        <f t="shared" si="20"/>
        <v>0</v>
      </c>
      <c r="K63" s="415"/>
      <c r="N63" s="65"/>
      <c r="O63" s="65"/>
    </row>
    <row r="64" spans="1:18" ht="10.199999999999999" customHeight="1" x14ac:dyDescent="0.25">
      <c r="A64" s="239" t="s">
        <v>385</v>
      </c>
      <c r="B64" s="252">
        <v>0</v>
      </c>
      <c r="C64" s="252">
        <f t="shared" si="20"/>
        <v>0</v>
      </c>
      <c r="D64" s="252">
        <f t="shared" si="20"/>
        <v>0</v>
      </c>
      <c r="E64" s="252">
        <f t="shared" si="20"/>
        <v>0</v>
      </c>
      <c r="F64" s="252">
        <f t="shared" si="20"/>
        <v>0</v>
      </c>
      <c r="G64" s="252">
        <f t="shared" si="20"/>
        <v>0</v>
      </c>
      <c r="H64" s="252">
        <f t="shared" si="20"/>
        <v>0</v>
      </c>
      <c r="I64" s="252">
        <f t="shared" si="20"/>
        <v>0</v>
      </c>
      <c r="J64" s="252">
        <f t="shared" si="20"/>
        <v>0</v>
      </c>
      <c r="N64" s="65"/>
      <c r="O64" s="65"/>
    </row>
    <row r="65" spans="1:11" ht="10.199999999999999" customHeight="1" x14ac:dyDescent="0.2">
      <c r="A65" s="239" t="s">
        <v>386</v>
      </c>
      <c r="B65" s="253">
        <f>+B62+B63</f>
        <v>273000</v>
      </c>
      <c r="C65" s="253">
        <f t="shared" si="20"/>
        <v>273000</v>
      </c>
      <c r="D65" s="253">
        <f t="shared" si="20"/>
        <v>273000</v>
      </c>
      <c r="E65" s="253">
        <f t="shared" si="20"/>
        <v>273000</v>
      </c>
      <c r="F65" s="253">
        <f>+F62+F63</f>
        <v>273000</v>
      </c>
      <c r="G65" s="253">
        <f>+G62+G63</f>
        <v>273000</v>
      </c>
      <c r="H65" s="253">
        <f t="shared" si="20"/>
        <v>273000</v>
      </c>
      <c r="I65" s="253">
        <f t="shared" si="20"/>
        <v>273000</v>
      </c>
      <c r="J65" s="253">
        <f t="shared" si="20"/>
        <v>273000</v>
      </c>
      <c r="K65" s="91"/>
    </row>
    <row r="66" spans="1:11" ht="21" customHeight="1" x14ac:dyDescent="0.25">
      <c r="A66" s="725" t="s">
        <v>387</v>
      </c>
      <c r="B66" s="725"/>
      <c r="C66" s="725"/>
      <c r="D66" s="725"/>
      <c r="E66" s="725"/>
      <c r="F66" s="725"/>
      <c r="G66" s="725"/>
      <c r="H66" s="725"/>
      <c r="I66" s="725"/>
      <c r="J66" s="725"/>
      <c r="K66" s="273"/>
    </row>
    <row r="67" spans="1:11" ht="10.199999999999999" customHeight="1" x14ac:dyDescent="0.2">
      <c r="A67" s="239" t="s">
        <v>388</v>
      </c>
      <c r="B67" s="255">
        <v>0.1077</v>
      </c>
      <c r="C67" s="255">
        <f>+B67</f>
        <v>0.1077</v>
      </c>
      <c r="D67" s="255">
        <f t="shared" ref="D67:J67" si="21">+C67</f>
        <v>0.1077</v>
      </c>
      <c r="E67" s="255">
        <f t="shared" si="21"/>
        <v>0.1077</v>
      </c>
      <c r="F67" s="255">
        <f t="shared" si="21"/>
        <v>0.1077</v>
      </c>
      <c r="G67" s="255">
        <f t="shared" si="21"/>
        <v>0.1077</v>
      </c>
      <c r="H67" s="255">
        <f t="shared" si="21"/>
        <v>0.1077</v>
      </c>
      <c r="I67" s="255">
        <f t="shared" si="21"/>
        <v>0.1077</v>
      </c>
      <c r="J67" s="255">
        <f t="shared" si="21"/>
        <v>0.1077</v>
      </c>
      <c r="K67" s="91"/>
    </row>
    <row r="68" spans="1:11" ht="10.199999999999999" customHeight="1" x14ac:dyDescent="0.2">
      <c r="A68" s="239" t="s">
        <v>389</v>
      </c>
      <c r="B68" s="255">
        <v>1.5900000000000001E-2</v>
      </c>
      <c r="C68" s="255">
        <f t="shared" ref="C68:J73" si="22">+B68</f>
        <v>1.5900000000000001E-2</v>
      </c>
      <c r="D68" s="255">
        <f t="shared" si="22"/>
        <v>1.5900000000000001E-2</v>
      </c>
      <c r="E68" s="255">
        <f t="shared" si="22"/>
        <v>1.5900000000000001E-2</v>
      </c>
      <c r="F68" s="255">
        <f t="shared" si="22"/>
        <v>1.5900000000000001E-2</v>
      </c>
      <c r="G68" s="255">
        <f t="shared" si="22"/>
        <v>1.5900000000000001E-2</v>
      </c>
      <c r="H68" s="255">
        <f t="shared" si="22"/>
        <v>1.5900000000000001E-2</v>
      </c>
      <c r="I68" s="255">
        <f t="shared" si="22"/>
        <v>1.5900000000000001E-2</v>
      </c>
      <c r="J68" s="255">
        <f t="shared" si="22"/>
        <v>1.5900000000000001E-2</v>
      </c>
      <c r="K68" s="91"/>
    </row>
    <row r="69" spans="1:11" ht="10.199999999999999" customHeight="1" x14ac:dyDescent="0.2">
      <c r="A69" s="239" t="s">
        <v>390</v>
      </c>
      <c r="B69" s="255">
        <v>4.7E-2</v>
      </c>
      <c r="C69" s="255">
        <f t="shared" si="22"/>
        <v>4.7E-2</v>
      </c>
      <c r="D69" s="255">
        <f t="shared" si="22"/>
        <v>4.7E-2</v>
      </c>
      <c r="E69" s="255">
        <f t="shared" si="22"/>
        <v>4.7E-2</v>
      </c>
      <c r="F69" s="255">
        <f t="shared" si="22"/>
        <v>4.7E-2</v>
      </c>
      <c r="G69" s="255">
        <f t="shared" si="22"/>
        <v>4.7E-2</v>
      </c>
      <c r="H69" s="255">
        <f t="shared" si="22"/>
        <v>4.7E-2</v>
      </c>
      <c r="I69" s="255">
        <f t="shared" si="22"/>
        <v>4.7E-2</v>
      </c>
      <c r="J69" s="255">
        <f t="shared" si="22"/>
        <v>4.7E-2</v>
      </c>
      <c r="K69" s="91"/>
    </row>
    <row r="70" spans="1:11" ht="10.199999999999999" customHeight="1" x14ac:dyDescent="0.2">
      <c r="A70" s="239" t="s">
        <v>391</v>
      </c>
      <c r="B70" s="255">
        <v>0.06</v>
      </c>
      <c r="C70" s="255">
        <f t="shared" si="22"/>
        <v>0.06</v>
      </c>
      <c r="D70" s="255">
        <f t="shared" si="22"/>
        <v>0.06</v>
      </c>
      <c r="E70" s="255">
        <f t="shared" si="22"/>
        <v>0.06</v>
      </c>
      <c r="F70" s="255">
        <f t="shared" si="22"/>
        <v>0.06</v>
      </c>
      <c r="G70" s="255">
        <f t="shared" si="22"/>
        <v>0.06</v>
      </c>
      <c r="H70" s="255">
        <f t="shared" si="22"/>
        <v>0.06</v>
      </c>
      <c r="I70" s="255">
        <f t="shared" si="22"/>
        <v>0.06</v>
      </c>
      <c r="J70" s="255">
        <f t="shared" si="22"/>
        <v>0.06</v>
      </c>
      <c r="K70" s="91"/>
    </row>
    <row r="71" spans="1:11" ht="10.199999999999999" customHeight="1" x14ac:dyDescent="0.2">
      <c r="A71" s="239" t="s">
        <v>392</v>
      </c>
      <c r="B71" s="255">
        <v>9.4000000000000004E-3</v>
      </c>
      <c r="C71" s="255">
        <f t="shared" si="22"/>
        <v>9.4000000000000004E-3</v>
      </c>
      <c r="D71" s="255">
        <f t="shared" si="22"/>
        <v>9.4000000000000004E-3</v>
      </c>
      <c r="E71" s="255">
        <f t="shared" si="22"/>
        <v>9.4000000000000004E-3</v>
      </c>
      <c r="F71" s="255">
        <f t="shared" si="22"/>
        <v>9.4000000000000004E-3</v>
      </c>
      <c r="G71" s="255">
        <f t="shared" si="22"/>
        <v>9.4000000000000004E-3</v>
      </c>
      <c r="H71" s="255">
        <f t="shared" si="22"/>
        <v>9.4000000000000004E-3</v>
      </c>
      <c r="I71" s="255">
        <f t="shared" si="22"/>
        <v>9.4000000000000004E-3</v>
      </c>
      <c r="J71" s="255">
        <f t="shared" si="22"/>
        <v>9.4000000000000004E-3</v>
      </c>
      <c r="K71" s="91"/>
    </row>
    <row r="72" spans="1:11" ht="10.199999999999999" customHeight="1" x14ac:dyDescent="0.2">
      <c r="A72" s="239" t="s">
        <v>393</v>
      </c>
      <c r="B72" s="255">
        <v>1E-3</v>
      </c>
      <c r="C72" s="255">
        <f t="shared" si="22"/>
        <v>1E-3</v>
      </c>
      <c r="D72" s="255">
        <f t="shared" si="22"/>
        <v>1E-3</v>
      </c>
      <c r="E72" s="255">
        <f t="shared" si="22"/>
        <v>1E-3</v>
      </c>
      <c r="F72" s="255">
        <f t="shared" si="22"/>
        <v>1E-3</v>
      </c>
      <c r="G72" s="255">
        <f t="shared" si="22"/>
        <v>1E-3</v>
      </c>
      <c r="H72" s="255">
        <f t="shared" si="22"/>
        <v>1E-3</v>
      </c>
      <c r="I72" s="255">
        <f t="shared" si="22"/>
        <v>1E-3</v>
      </c>
      <c r="J72" s="255">
        <f t="shared" si="22"/>
        <v>1E-3</v>
      </c>
      <c r="K72" s="91"/>
    </row>
    <row r="73" spans="1:11" ht="10.199999999999999" customHeight="1" x14ac:dyDescent="0.25">
      <c r="A73" s="239" t="s">
        <v>394</v>
      </c>
      <c r="B73" s="255">
        <v>0.02</v>
      </c>
      <c r="C73" s="255">
        <f t="shared" si="22"/>
        <v>0.02</v>
      </c>
      <c r="D73" s="255">
        <f t="shared" si="22"/>
        <v>0.02</v>
      </c>
      <c r="E73" s="255">
        <f t="shared" si="22"/>
        <v>0.02</v>
      </c>
      <c r="F73" s="255">
        <f t="shared" si="22"/>
        <v>0.02</v>
      </c>
      <c r="G73" s="255">
        <f t="shared" si="22"/>
        <v>0.02</v>
      </c>
      <c r="H73" s="255">
        <f t="shared" si="22"/>
        <v>0.02</v>
      </c>
      <c r="I73" s="255">
        <f t="shared" si="22"/>
        <v>0.02</v>
      </c>
      <c r="J73" s="255">
        <f t="shared" si="22"/>
        <v>0.02</v>
      </c>
      <c r="K73" s="256"/>
    </row>
    <row r="74" spans="1:11" ht="10.199999999999999" customHeight="1" x14ac:dyDescent="0.25">
      <c r="A74" s="239" t="s">
        <v>395</v>
      </c>
      <c r="B74" s="257">
        <f>SUM(B67:B72)</f>
        <v>0.24099999999999999</v>
      </c>
      <c r="C74" s="257">
        <f t="shared" ref="C74:J74" si="23">SUM(C67:C72)</f>
        <v>0.24099999999999999</v>
      </c>
      <c r="D74" s="257">
        <f t="shared" si="23"/>
        <v>0.24099999999999999</v>
      </c>
      <c r="E74" s="257">
        <f t="shared" si="23"/>
        <v>0.24099999999999999</v>
      </c>
      <c r="F74" s="257">
        <f t="shared" si="23"/>
        <v>0.24099999999999999</v>
      </c>
      <c r="G74" s="257">
        <f t="shared" si="23"/>
        <v>0.24099999999999999</v>
      </c>
      <c r="H74" s="257">
        <f t="shared" si="23"/>
        <v>0.24099999999999999</v>
      </c>
      <c r="I74" s="257">
        <f t="shared" si="23"/>
        <v>0.24099999999999999</v>
      </c>
      <c r="J74" s="257">
        <f t="shared" si="23"/>
        <v>0.24099999999999999</v>
      </c>
      <c r="K74" s="90"/>
    </row>
    <row r="75" spans="1:11" ht="19.8" customHeight="1" x14ac:dyDescent="0.2">
      <c r="A75" s="258"/>
      <c r="B75" s="258"/>
      <c r="C75" s="258"/>
      <c r="D75" s="258"/>
      <c r="E75" s="258"/>
      <c r="F75" s="258"/>
      <c r="G75" s="259"/>
      <c r="H75" s="260"/>
      <c r="I75" s="258"/>
      <c r="J75" s="258"/>
      <c r="K75" s="258"/>
    </row>
    <row r="76" spans="1:11" ht="10.199999999999999" customHeight="1" x14ac:dyDescent="0.2">
      <c r="A76" s="239" t="s">
        <v>396</v>
      </c>
      <c r="B76" s="198">
        <v>0</v>
      </c>
      <c r="C76" s="198">
        <v>0</v>
      </c>
      <c r="D76" s="198">
        <v>0</v>
      </c>
      <c r="E76" s="198">
        <v>0</v>
      </c>
      <c r="F76" s="198">
        <v>0</v>
      </c>
      <c r="G76" s="261">
        <f>+(G51+G52+G53)*(10.78%)</f>
        <v>147686</v>
      </c>
      <c r="H76" s="261">
        <f>+G76</f>
        <v>147686</v>
      </c>
      <c r="I76" s="261">
        <f>+H76</f>
        <v>147686</v>
      </c>
      <c r="J76" s="261">
        <f>+I76</f>
        <v>147686</v>
      </c>
      <c r="K76" s="262"/>
    </row>
    <row r="77" spans="1:11" ht="10.199999999999999" customHeight="1" x14ac:dyDescent="0.2">
      <c r="A77" s="239" t="s">
        <v>397</v>
      </c>
      <c r="B77" s="198">
        <v>0</v>
      </c>
      <c r="C77" s="198">
        <v>0</v>
      </c>
      <c r="D77" s="198">
        <v>0</v>
      </c>
      <c r="E77" s="198">
        <v>0</v>
      </c>
      <c r="F77" s="198">
        <v>0</v>
      </c>
      <c r="G77" s="261">
        <f>+(G76*1.5%)*11</f>
        <v>24368.19</v>
      </c>
      <c r="H77" s="261">
        <f>+G77</f>
        <v>24368.19</v>
      </c>
      <c r="I77" s="261">
        <f t="shared" ref="I77:J77" si="24">+H77</f>
        <v>24368.19</v>
      </c>
      <c r="J77" s="261">
        <f t="shared" si="24"/>
        <v>24368.19</v>
      </c>
      <c r="K77" s="91"/>
    </row>
    <row r="78" spans="1:11" ht="10.199999999999999" customHeight="1" x14ac:dyDescent="0.2">
      <c r="A78" s="239" t="s">
        <v>398</v>
      </c>
      <c r="B78" s="198">
        <v>0</v>
      </c>
      <c r="C78" s="198">
        <v>0</v>
      </c>
      <c r="D78" s="198">
        <v>0</v>
      </c>
      <c r="E78" s="198">
        <v>0</v>
      </c>
      <c r="F78" s="198">
        <v>0</v>
      </c>
      <c r="G78" s="261">
        <f>+G76*3.37%</f>
        <v>4977.0182000000004</v>
      </c>
      <c r="H78" s="261">
        <f t="shared" ref="H78:J80" si="25">+G78</f>
        <v>4977.0182000000004</v>
      </c>
      <c r="I78" s="261">
        <f t="shared" si="25"/>
        <v>4977.0182000000004</v>
      </c>
      <c r="J78" s="261">
        <f t="shared" si="25"/>
        <v>4977.0182000000004</v>
      </c>
      <c r="K78" s="263"/>
    </row>
    <row r="79" spans="1:11" ht="10.199999999999999" customHeight="1" x14ac:dyDescent="0.2">
      <c r="A79" s="239" t="s">
        <v>399</v>
      </c>
      <c r="B79" s="198">
        <v>0</v>
      </c>
      <c r="C79" s="198">
        <v>0</v>
      </c>
      <c r="D79" s="198">
        <v>0</v>
      </c>
      <c r="E79" s="198">
        <v>0</v>
      </c>
      <c r="F79" s="198">
        <v>0</v>
      </c>
      <c r="G79" s="261">
        <f>+G76*1.25%</f>
        <v>1846.075</v>
      </c>
      <c r="H79" s="261">
        <f t="shared" si="25"/>
        <v>1846.075</v>
      </c>
      <c r="I79" s="261">
        <f t="shared" si="25"/>
        <v>1846.075</v>
      </c>
      <c r="J79" s="261">
        <f t="shared" si="25"/>
        <v>1846.075</v>
      </c>
      <c r="K79" s="263"/>
    </row>
    <row r="80" spans="1:11" ht="10.199999999999999" customHeight="1" x14ac:dyDescent="0.2">
      <c r="A80" s="249" t="s">
        <v>400</v>
      </c>
      <c r="B80" s="264">
        <v>0</v>
      </c>
      <c r="C80" s="264">
        <v>0</v>
      </c>
      <c r="D80" s="265">
        <v>0</v>
      </c>
      <c r="E80" s="264">
        <v>0</v>
      </c>
      <c r="F80" s="264">
        <v>0</v>
      </c>
      <c r="G80" s="266">
        <f>+G76*0.9%</f>
        <v>1329.1740000000002</v>
      </c>
      <c r="H80" s="266">
        <f>+G80</f>
        <v>1329.1740000000002</v>
      </c>
      <c r="I80" s="266">
        <f t="shared" si="25"/>
        <v>1329.1740000000002</v>
      </c>
      <c r="J80" s="266">
        <f t="shared" si="25"/>
        <v>1329.1740000000002</v>
      </c>
      <c r="K80" s="263"/>
    </row>
    <row r="81" spans="1:21" ht="10.199999999999999" customHeight="1" x14ac:dyDescent="0.2">
      <c r="A81" s="239" t="s">
        <v>401</v>
      </c>
      <c r="B81" s="267">
        <v>0</v>
      </c>
      <c r="C81" s="267">
        <v>0</v>
      </c>
      <c r="D81" s="198">
        <v>0</v>
      </c>
      <c r="E81" s="267">
        <v>0</v>
      </c>
      <c r="F81" s="267">
        <v>0</v>
      </c>
      <c r="G81" s="457">
        <f>+G76*10.1644%</f>
        <v>15011.395784000002</v>
      </c>
      <c r="H81" s="266">
        <f t="shared" ref="H81:J83" si="26">+G81</f>
        <v>15011.395784000002</v>
      </c>
      <c r="I81" s="266">
        <f t="shared" si="26"/>
        <v>15011.395784000002</v>
      </c>
      <c r="J81" s="266">
        <f t="shared" si="26"/>
        <v>15011.395784000002</v>
      </c>
      <c r="K81" s="268"/>
      <c r="L81" s="231"/>
      <c r="M81" s="231"/>
    </row>
    <row r="82" spans="1:21" ht="10.199999999999999" customHeight="1" x14ac:dyDescent="0.2">
      <c r="A82" s="239" t="s">
        <v>402</v>
      </c>
      <c r="B82" s="267">
        <v>0</v>
      </c>
      <c r="C82" s="267">
        <v>0</v>
      </c>
      <c r="D82" s="198">
        <v>0</v>
      </c>
      <c r="E82" s="267">
        <v>0</v>
      </c>
      <c r="F82" s="267">
        <v>0</v>
      </c>
      <c r="G82" s="458">
        <v>51868</v>
      </c>
      <c r="H82" s="459">
        <f t="shared" si="26"/>
        <v>51868</v>
      </c>
      <c r="I82" s="459">
        <f t="shared" si="26"/>
        <v>51868</v>
      </c>
      <c r="J82" s="459">
        <f t="shared" si="26"/>
        <v>51868</v>
      </c>
      <c r="K82" s="270"/>
    </row>
    <row r="83" spans="1:21" ht="10.199999999999999" customHeight="1" x14ac:dyDescent="0.25">
      <c r="A83" s="238" t="s">
        <v>403</v>
      </c>
      <c r="B83" s="267">
        <v>0</v>
      </c>
      <c r="C83" s="267">
        <v>0</v>
      </c>
      <c r="D83" s="198">
        <v>0</v>
      </c>
      <c r="E83" s="267">
        <v>0</v>
      </c>
      <c r="F83" s="267">
        <v>0</v>
      </c>
      <c r="G83" s="455">
        <f>SUM(G76:G82)</f>
        <v>247085.852984</v>
      </c>
      <c r="H83" s="456">
        <f t="shared" si="26"/>
        <v>247085.852984</v>
      </c>
      <c r="I83" s="456">
        <f t="shared" si="26"/>
        <v>247085.852984</v>
      </c>
      <c r="J83" s="456">
        <f t="shared" si="26"/>
        <v>247085.852984</v>
      </c>
      <c r="K83" s="231"/>
      <c r="L83" s="65"/>
      <c r="M83" s="65"/>
    </row>
    <row r="84" spans="1:21" ht="10.199999999999999" customHeight="1" x14ac:dyDescent="0.25">
      <c r="A84" s="239" t="s">
        <v>404</v>
      </c>
      <c r="B84" s="267">
        <v>0</v>
      </c>
      <c r="C84" s="267">
        <v>0</v>
      </c>
      <c r="D84" s="198">
        <v>0</v>
      </c>
      <c r="E84" s="267">
        <v>0</v>
      </c>
      <c r="F84" s="267">
        <v>0</v>
      </c>
      <c r="G84" s="271">
        <v>911</v>
      </c>
      <c r="H84" s="271">
        <v>27</v>
      </c>
      <c r="I84" s="271">
        <v>0</v>
      </c>
      <c r="J84" s="271">
        <v>876</v>
      </c>
      <c r="K84" s="272"/>
      <c r="L84" s="231"/>
      <c r="M84" s="231"/>
    </row>
    <row r="85" spans="1:21" ht="9" customHeight="1" x14ac:dyDescent="0.25">
      <c r="A85" s="133"/>
      <c r="B85" s="64"/>
      <c r="C85" s="64"/>
      <c r="D85" s="65"/>
      <c r="E85" s="64"/>
      <c r="F85" s="64"/>
      <c r="G85" s="64"/>
      <c r="H85" s="64"/>
      <c r="I85" s="64"/>
      <c r="J85" s="64"/>
    </row>
    <row r="86" spans="1:21" s="20" customFormat="1" ht="11.4" customHeight="1" x14ac:dyDescent="0.25">
      <c r="A86" s="197"/>
      <c r="B86" s="197" t="s">
        <v>298</v>
      </c>
      <c r="C86" s="197" t="s">
        <v>299</v>
      </c>
      <c r="D86" s="197" t="s">
        <v>300</v>
      </c>
      <c r="E86" s="197" t="s">
        <v>445</v>
      </c>
      <c r="F86" s="197" t="s">
        <v>446</v>
      </c>
      <c r="G86" s="197" t="s">
        <v>447</v>
      </c>
      <c r="H86" s="197" t="s">
        <v>301</v>
      </c>
      <c r="I86" s="197" t="s">
        <v>302</v>
      </c>
      <c r="J86" s="197" t="s">
        <v>303</v>
      </c>
      <c r="K86" s="231"/>
      <c r="L86" s="65"/>
      <c r="M86" s="65"/>
      <c r="N86" s="65"/>
      <c r="O86" s="65"/>
      <c r="P86" s="65"/>
      <c r="Q86" s="65"/>
    </row>
    <row r="87" spans="1:21" ht="17.55" customHeight="1" x14ac:dyDescent="0.2">
      <c r="A87" s="273" t="s">
        <v>405</v>
      </c>
      <c r="B87" s="251"/>
      <c r="C87" s="251"/>
      <c r="D87" s="251"/>
      <c r="E87" s="251"/>
      <c r="G87" s="251"/>
      <c r="H87" s="251"/>
      <c r="I87" s="251"/>
      <c r="J87" s="251"/>
      <c r="K87" s="258"/>
      <c r="P87" s="65" t="s">
        <v>494</v>
      </c>
      <c r="Q87" s="65" t="s">
        <v>495</v>
      </c>
      <c r="R87" s="65" t="s">
        <v>496</v>
      </c>
      <c r="S87" s="65" t="s">
        <v>497</v>
      </c>
      <c r="T87" s="65" t="s">
        <v>498</v>
      </c>
      <c r="U87" s="461" t="s">
        <v>499</v>
      </c>
    </row>
    <row r="88" spans="1:21" ht="10.199999999999999" customHeight="1" x14ac:dyDescent="0.2">
      <c r="A88" s="239" t="s">
        <v>406</v>
      </c>
      <c r="B88" s="458">
        <v>130713</v>
      </c>
      <c r="C88" s="269">
        <f t="shared" ref="C88:J89" si="27">+B88</f>
        <v>130713</v>
      </c>
      <c r="D88" s="269">
        <f t="shared" si="27"/>
        <v>130713</v>
      </c>
      <c r="E88" s="269">
        <f t="shared" si="27"/>
        <v>130713</v>
      </c>
      <c r="F88" s="269">
        <f t="shared" si="27"/>
        <v>130713</v>
      </c>
      <c r="G88" s="269">
        <f t="shared" si="27"/>
        <v>130713</v>
      </c>
      <c r="H88" s="494">
        <f t="shared" si="27"/>
        <v>130713</v>
      </c>
      <c r="I88" s="495">
        <f t="shared" si="27"/>
        <v>130713</v>
      </c>
      <c r="J88" s="495">
        <f t="shared" si="27"/>
        <v>130713</v>
      </c>
      <c r="K88" s="91"/>
      <c r="P88" s="65" t="s">
        <v>201</v>
      </c>
      <c r="Q88" s="230">
        <f>+S88/R88</f>
        <v>0.16160771804140536</v>
      </c>
      <c r="R88" s="460">
        <v>579007</v>
      </c>
      <c r="S88" s="460">
        <v>93572</v>
      </c>
      <c r="T88" s="702">
        <f>1/(1+(8/60)*Q88)</f>
        <v>0.97890681381913425</v>
      </c>
    </row>
    <row r="89" spans="1:21" ht="10.199999999999999" customHeight="1" x14ac:dyDescent="0.2">
      <c r="A89" s="239" t="s">
        <v>407</v>
      </c>
      <c r="B89" s="458">
        <v>140511</v>
      </c>
      <c r="C89" s="269">
        <f t="shared" si="27"/>
        <v>140511</v>
      </c>
      <c r="D89" s="269">
        <f t="shared" si="27"/>
        <v>140511</v>
      </c>
      <c r="E89" s="269">
        <f t="shared" si="27"/>
        <v>140511</v>
      </c>
      <c r="F89" s="269">
        <f t="shared" si="27"/>
        <v>140511</v>
      </c>
      <c r="G89" s="269">
        <f t="shared" si="27"/>
        <v>140511</v>
      </c>
      <c r="H89" s="494">
        <f t="shared" si="27"/>
        <v>140511</v>
      </c>
      <c r="I89" s="495">
        <f t="shared" si="27"/>
        <v>140511</v>
      </c>
      <c r="J89" s="495">
        <f t="shared" si="27"/>
        <v>140511</v>
      </c>
      <c r="K89" s="91"/>
      <c r="P89" s="65" t="s">
        <v>202</v>
      </c>
      <c r="Q89" s="230">
        <f>+S89/R89</f>
        <v>0.17183468152453585</v>
      </c>
      <c r="R89" s="460">
        <v>2160920</v>
      </c>
      <c r="S89" s="460">
        <v>371321</v>
      </c>
      <c r="T89" s="702">
        <f t="shared" ref="T89:T96" si="28">1/(1+(8/60)*Q89)</f>
        <v>0.97760187899533979</v>
      </c>
    </row>
    <row r="90" spans="1:21" ht="10.199999999999999" customHeight="1" x14ac:dyDescent="0.2">
      <c r="A90" s="239" t="s">
        <v>408</v>
      </c>
      <c r="B90" s="269">
        <v>72</v>
      </c>
      <c r="C90" s="269">
        <v>72</v>
      </c>
      <c r="D90" s="274">
        <v>72</v>
      </c>
      <c r="E90" s="269">
        <v>72</v>
      </c>
      <c r="F90" s="269">
        <v>72</v>
      </c>
      <c r="G90" s="269">
        <v>72</v>
      </c>
      <c r="H90" s="494">
        <v>72</v>
      </c>
      <c r="I90" s="495">
        <v>72</v>
      </c>
      <c r="J90" s="495">
        <v>72</v>
      </c>
      <c r="K90" s="91"/>
      <c r="P90" s="65" t="s">
        <v>207</v>
      </c>
      <c r="Q90" s="230">
        <f t="shared" ref="Q90:Q96" si="29">+S90/R90</f>
        <v>0.23581792822050129</v>
      </c>
      <c r="R90" s="460">
        <v>192144</v>
      </c>
      <c r="S90" s="460">
        <v>45311</v>
      </c>
      <c r="T90" s="702">
        <f t="shared" si="28"/>
        <v>0.96951609637033598</v>
      </c>
    </row>
    <row r="91" spans="1:21" ht="18.45" customHeight="1" thickBot="1" x14ac:dyDescent="0.3">
      <c r="A91" s="273" t="s">
        <v>409</v>
      </c>
      <c r="C91" s="589"/>
      <c r="D91" s="589"/>
      <c r="E91" s="589"/>
      <c r="F91" s="589"/>
      <c r="G91" s="589"/>
      <c r="H91" s="589"/>
      <c r="I91" s="589"/>
      <c r="J91" s="589"/>
      <c r="K91" s="273"/>
      <c r="P91" s="65" t="s">
        <v>208</v>
      </c>
      <c r="Q91" s="230">
        <f t="shared" si="29"/>
        <v>0.16612375840582391</v>
      </c>
      <c r="R91" s="460">
        <v>162090</v>
      </c>
      <c r="S91" s="460">
        <v>26927</v>
      </c>
      <c r="T91" s="702">
        <f t="shared" si="28"/>
        <v>0.97833014915475758</v>
      </c>
    </row>
    <row r="92" spans="1:21" ht="10.199999999999999" customHeight="1" x14ac:dyDescent="0.25">
      <c r="A92" s="239" t="s">
        <v>410</v>
      </c>
      <c r="B92" s="129">
        <f>+'2- EMP. REP'!B8/'2- EMP. REP'!B12</f>
        <v>4042.040601645795</v>
      </c>
      <c r="C92" s="129">
        <f>+'2- EMP. REP'!C8/'2- EMP. REP'!C12</f>
        <v>3631.0704246218661</v>
      </c>
      <c r="D92" s="129">
        <f>+'2- EMP. REP'!D8/'2- EMP. REP'!D12</f>
        <v>3882.903637688421</v>
      </c>
      <c r="E92" s="129">
        <f>+'2- EMP. REP'!E8/'2- EMP. REP'!E12</f>
        <v>3739.2664716448116</v>
      </c>
      <c r="F92" s="129">
        <f>+'2- EMP. REP'!F8/'2- EMP. REP'!F12</f>
        <v>3462.9343591574484</v>
      </c>
      <c r="G92" s="129">
        <f>+'2- EMP. REP'!G8/'2- EMP. REP'!G12</f>
        <v>4075.8719616890771</v>
      </c>
      <c r="H92" s="129">
        <f>+'2- EMP. REP'!H8/'2- EMP. REP'!H12</f>
        <v>4129.4683492298482</v>
      </c>
      <c r="I92" s="129">
        <f>+'2- EMP. REP'!I8/'2- EMP. REP'!I12</f>
        <v>4044.0537619124411</v>
      </c>
      <c r="J92" s="129">
        <f>+'2- EMP. REP'!J8/'2- EMP. REP'!J12</f>
        <v>3744.6524075732468</v>
      </c>
      <c r="K92" s="273"/>
      <c r="L92" s="726" t="s">
        <v>124</v>
      </c>
      <c r="M92" s="727"/>
      <c r="N92" s="371">
        <v>365</v>
      </c>
      <c r="P92" s="65" t="s">
        <v>209</v>
      </c>
      <c r="Q92" s="230">
        <f t="shared" si="29"/>
        <v>0.16609771111981644</v>
      </c>
      <c r="R92" s="460">
        <v>53607</v>
      </c>
      <c r="S92" s="460">
        <v>8904</v>
      </c>
      <c r="T92" s="702">
        <f t="shared" si="28"/>
        <v>0.97833347325081843</v>
      </c>
    </row>
    <row r="93" spans="1:21" ht="10.199999999999999" customHeight="1" x14ac:dyDescent="0.25">
      <c r="A93" s="239" t="s">
        <v>411</v>
      </c>
      <c r="B93" s="129">
        <f t="shared" ref="B93:J93" si="30">+B4*B97*B94</f>
        <v>3964.7504148131884</v>
      </c>
      <c r="C93" s="129">
        <f t="shared" si="30"/>
        <v>4095.9075338892762</v>
      </c>
      <c r="D93" s="129">
        <f t="shared" si="30"/>
        <v>4073.8821966199503</v>
      </c>
      <c r="E93" s="129">
        <f t="shared" si="30"/>
        <v>4212.3711685634571</v>
      </c>
      <c r="F93" s="129">
        <f t="shared" si="30"/>
        <v>4091.3738192184001</v>
      </c>
      <c r="G93" s="129">
        <f t="shared" si="30"/>
        <v>4102.6184337459754</v>
      </c>
      <c r="H93" s="129">
        <f t="shared" si="30"/>
        <v>4082.2115407144497</v>
      </c>
      <c r="I93" s="129">
        <f t="shared" si="30"/>
        <v>3978.869896347423</v>
      </c>
      <c r="J93" s="129">
        <f t="shared" si="30"/>
        <v>3984.517688961118</v>
      </c>
      <c r="K93" s="273"/>
      <c r="L93" s="721" t="s">
        <v>133</v>
      </c>
      <c r="M93" s="722"/>
      <c r="N93" s="372">
        <v>66</v>
      </c>
      <c r="P93" s="65" t="s">
        <v>210</v>
      </c>
      <c r="Q93" s="230">
        <f t="shared" si="29"/>
        <v>0.14663162086365711</v>
      </c>
      <c r="R93" s="460">
        <v>1408823</v>
      </c>
      <c r="S93" s="460">
        <v>206578</v>
      </c>
      <c r="T93" s="702">
        <f t="shared" si="28"/>
        <v>0.98082402446803163</v>
      </c>
      <c r="U93" s="23"/>
    </row>
    <row r="94" spans="1:21" ht="10.199999999999999" customHeight="1" x14ac:dyDescent="0.25">
      <c r="A94" s="239" t="s">
        <v>129</v>
      </c>
      <c r="B94" s="129">
        <v>242</v>
      </c>
      <c r="C94" s="129">
        <f>+B94</f>
        <v>242</v>
      </c>
      <c r="D94" s="129">
        <f t="shared" ref="D94:J95" si="31">+C94</f>
        <v>242</v>
      </c>
      <c r="E94" s="129">
        <f t="shared" si="31"/>
        <v>242</v>
      </c>
      <c r="F94" s="129">
        <f t="shared" si="31"/>
        <v>242</v>
      </c>
      <c r="G94" s="129">
        <f t="shared" si="31"/>
        <v>242</v>
      </c>
      <c r="H94" s="129">
        <f t="shared" si="31"/>
        <v>242</v>
      </c>
      <c r="I94" s="129">
        <f t="shared" si="31"/>
        <v>242</v>
      </c>
      <c r="J94" s="129">
        <f t="shared" si="31"/>
        <v>242</v>
      </c>
      <c r="K94" s="273"/>
      <c r="L94" s="721" t="s">
        <v>125</v>
      </c>
      <c r="M94" s="722"/>
      <c r="N94" s="372">
        <v>21</v>
      </c>
      <c r="P94" s="65" t="s">
        <v>211</v>
      </c>
      <c r="Q94" s="230">
        <f t="shared" si="29"/>
        <v>0.19627329192546583</v>
      </c>
      <c r="R94" s="460">
        <v>323610</v>
      </c>
      <c r="S94" s="460">
        <v>63516</v>
      </c>
      <c r="T94" s="702">
        <f t="shared" si="28"/>
        <v>0.97449761923977085</v>
      </c>
      <c r="U94" s="64"/>
    </row>
    <row r="95" spans="1:21" ht="10.199999999999999" customHeight="1" thickBot="1" x14ac:dyDescent="0.3">
      <c r="A95" s="239" t="s">
        <v>412</v>
      </c>
      <c r="B95" s="275">
        <v>7.5</v>
      </c>
      <c r="C95" s="275">
        <f>+B95</f>
        <v>7.5</v>
      </c>
      <c r="D95" s="275">
        <f t="shared" si="31"/>
        <v>7.5</v>
      </c>
      <c r="E95" s="275">
        <f t="shared" si="31"/>
        <v>7.5</v>
      </c>
      <c r="F95" s="275">
        <f t="shared" si="31"/>
        <v>7.5</v>
      </c>
      <c r="G95" s="275">
        <f t="shared" si="31"/>
        <v>7.5</v>
      </c>
      <c r="H95" s="275">
        <f t="shared" si="31"/>
        <v>7.5</v>
      </c>
      <c r="I95" s="275">
        <f t="shared" si="31"/>
        <v>7.5</v>
      </c>
      <c r="J95" s="275">
        <f t="shared" si="31"/>
        <v>7.5</v>
      </c>
      <c r="K95" s="273"/>
      <c r="L95" s="721" t="s">
        <v>126</v>
      </c>
      <c r="M95" s="722"/>
      <c r="N95" s="372">
        <v>19</v>
      </c>
      <c r="P95" s="65" t="s">
        <v>212</v>
      </c>
      <c r="Q95" s="230">
        <f t="shared" si="29"/>
        <v>0.1380774881994265</v>
      </c>
      <c r="R95" s="460">
        <v>858221</v>
      </c>
      <c r="S95" s="460">
        <v>118501</v>
      </c>
      <c r="T95" s="702">
        <f t="shared" si="28"/>
        <v>0.98192248135571392</v>
      </c>
      <c r="U95" s="64"/>
    </row>
    <row r="96" spans="1:21" ht="10.199999999999999" customHeight="1" thickBot="1" x14ac:dyDescent="0.3">
      <c r="A96" s="383" t="s">
        <v>413</v>
      </c>
      <c r="B96" s="485">
        <v>0.98280000000000001</v>
      </c>
      <c r="C96" s="486">
        <v>0.98348861264931287</v>
      </c>
      <c r="D96" s="486">
        <v>0.97819999999999996</v>
      </c>
      <c r="E96" s="486">
        <v>0.98340000000000005</v>
      </c>
      <c r="F96" s="486">
        <v>0.98240000000000005</v>
      </c>
      <c r="G96" s="486">
        <v>0.98509999999999998</v>
      </c>
      <c r="H96" s="486">
        <v>0.98019999999999996</v>
      </c>
      <c r="I96" s="487">
        <v>0.98629999999999995</v>
      </c>
      <c r="J96" s="488">
        <v>0.98770000000000002</v>
      </c>
      <c r="K96" s="273"/>
      <c r="L96" s="721" t="s">
        <v>127</v>
      </c>
      <c r="M96" s="722"/>
      <c r="N96" s="372">
        <v>17</v>
      </c>
      <c r="P96" s="65" t="s">
        <v>213</v>
      </c>
      <c r="Q96" s="230">
        <f t="shared" si="29"/>
        <v>0.11356981924404951</v>
      </c>
      <c r="R96" s="460">
        <v>293379</v>
      </c>
      <c r="S96" s="460">
        <v>33319</v>
      </c>
      <c r="T96" s="702">
        <f t="shared" si="28"/>
        <v>0.98508323664977893</v>
      </c>
      <c r="U96" s="64"/>
    </row>
    <row r="97" spans="1:21" ht="10.199999999999999" customHeight="1" thickBot="1" x14ac:dyDescent="0.3">
      <c r="A97" s="239" t="s">
        <v>414</v>
      </c>
      <c r="B97" s="384">
        <f t="shared" ref="B97:J97" si="32">+B96*B95</f>
        <v>7.3710000000000004</v>
      </c>
      <c r="C97" s="384">
        <f t="shared" si="32"/>
        <v>7.3761645948698469</v>
      </c>
      <c r="D97" s="384">
        <f t="shared" si="32"/>
        <v>7.3365</v>
      </c>
      <c r="E97" s="384">
        <f>+E96*E95</f>
        <v>7.3755000000000006</v>
      </c>
      <c r="F97" s="384">
        <f>+F96*F95</f>
        <v>7.3680000000000003</v>
      </c>
      <c r="G97" s="384">
        <f t="shared" si="32"/>
        <v>7.3882500000000002</v>
      </c>
      <c r="H97" s="384">
        <f t="shared" si="32"/>
        <v>7.3514999999999997</v>
      </c>
      <c r="I97" s="385">
        <f t="shared" si="32"/>
        <v>7.3972499999999997</v>
      </c>
      <c r="J97" s="386">
        <f t="shared" si="32"/>
        <v>7.4077500000000001</v>
      </c>
      <c r="K97" s="273"/>
      <c r="L97" s="721" t="s">
        <v>128</v>
      </c>
      <c r="M97" s="722"/>
      <c r="N97" s="372">
        <f>SUM(N93:N96)</f>
        <v>123</v>
      </c>
      <c r="P97" s="65"/>
      <c r="Q97" s="65"/>
      <c r="T97" s="290"/>
      <c r="U97" s="64"/>
    </row>
    <row r="98" spans="1:21" ht="10.199999999999999" customHeight="1" thickBot="1" x14ac:dyDescent="0.3">
      <c r="A98" s="383" t="s">
        <v>415</v>
      </c>
      <c r="B98" s="492">
        <v>0.42758000000000002</v>
      </c>
      <c r="C98" s="610">
        <v>0.37366632950638951</v>
      </c>
      <c r="D98" s="610">
        <v>0.33235850735465161</v>
      </c>
      <c r="E98" s="610">
        <v>0.43748587145367629</v>
      </c>
      <c r="F98" s="610">
        <v>0.51586389256869192</v>
      </c>
      <c r="G98" s="610">
        <v>0.41977859847384963</v>
      </c>
      <c r="H98" s="610">
        <v>0.43357181810113699</v>
      </c>
      <c r="I98" s="611">
        <v>0.3937234087071525</v>
      </c>
      <c r="J98" s="612">
        <v>0.42241549058467831</v>
      </c>
      <c r="K98" s="273"/>
      <c r="L98" s="728" t="s">
        <v>129</v>
      </c>
      <c r="M98" s="729"/>
      <c r="N98" s="373">
        <f>+N92-N97</f>
        <v>242</v>
      </c>
      <c r="P98" s="65"/>
      <c r="Q98" s="65"/>
    </row>
    <row r="99" spans="1:21" ht="10.199999999999999" customHeight="1" thickBot="1" x14ac:dyDescent="0.3">
      <c r="A99" s="239" t="s">
        <v>416</v>
      </c>
      <c r="B99" s="228">
        <f>+B4*B97*B98*$N$95</f>
        <v>133.0979820865729</v>
      </c>
      <c r="C99" s="228">
        <f>+C4*C97*C98*$N$95</f>
        <v>120.16343780798965</v>
      </c>
      <c r="D99" s="228">
        <f t="shared" ref="D99:J99" si="33">+D4*D97*D98*$N$95</f>
        <v>106.30495336420918</v>
      </c>
      <c r="E99" s="228">
        <f t="shared" si="33"/>
        <v>144.68679570140981</v>
      </c>
      <c r="F99" s="228">
        <f t="shared" si="33"/>
        <v>165.70763827428576</v>
      </c>
      <c r="G99" s="228">
        <f t="shared" si="33"/>
        <v>135.21337565134894</v>
      </c>
      <c r="H99" s="228">
        <f t="shared" si="33"/>
        <v>138.9615938514014</v>
      </c>
      <c r="I99" s="228">
        <f t="shared" si="33"/>
        <v>122.9954964853366</v>
      </c>
      <c r="J99" s="228">
        <f t="shared" si="33"/>
        <v>132.14594170326836</v>
      </c>
      <c r="K99" s="273"/>
      <c r="L99" s="374"/>
      <c r="N99" s="375">
        <f>+N97/N98</f>
        <v>0.50826446280991733</v>
      </c>
      <c r="P99" s="65"/>
      <c r="Q99" s="65"/>
      <c r="R99" s="701"/>
    </row>
    <row r="100" spans="1:21" ht="10.199999999999999" customHeight="1" x14ac:dyDescent="0.25">
      <c r="A100" s="239" t="s">
        <v>417</v>
      </c>
      <c r="B100" s="129">
        <f t="shared" ref="B100" si="34">IF(B92-B93-B99&lt;0,0,B92-B93-B99)</f>
        <v>0</v>
      </c>
      <c r="C100" s="129">
        <f t="shared" ref="C100:J100" si="35">IF(C92-C93-C99&lt;0,0,C92-C93-C99)</f>
        <v>0</v>
      </c>
      <c r="D100" s="129">
        <f t="shared" si="35"/>
        <v>0</v>
      </c>
      <c r="E100" s="129">
        <f t="shared" si="35"/>
        <v>0</v>
      </c>
      <c r="F100" s="129">
        <f t="shared" si="35"/>
        <v>0</v>
      </c>
      <c r="G100" s="129">
        <f t="shared" si="35"/>
        <v>0</v>
      </c>
      <c r="H100" s="129">
        <f t="shared" si="35"/>
        <v>0</v>
      </c>
      <c r="I100" s="129">
        <f t="shared" si="35"/>
        <v>0</v>
      </c>
      <c r="J100" s="129">
        <f t="shared" si="35"/>
        <v>0</v>
      </c>
      <c r="K100" s="273"/>
      <c r="P100" s="65" t="s">
        <v>494</v>
      </c>
      <c r="Q100" s="65" t="s">
        <v>500</v>
      </c>
      <c r="R100" s="65" t="s">
        <v>501</v>
      </c>
      <c r="S100" s="65" t="s">
        <v>502</v>
      </c>
    </row>
    <row r="101" spans="1:21" ht="10.199999999999999" customHeight="1" x14ac:dyDescent="0.25">
      <c r="A101" s="239" t="s">
        <v>418</v>
      </c>
      <c r="B101" s="276">
        <v>1.514</v>
      </c>
      <c r="C101" s="276">
        <f>+B101</f>
        <v>1.514</v>
      </c>
      <c r="D101" s="276">
        <f t="shared" ref="D101:J101" si="36">+C101</f>
        <v>1.514</v>
      </c>
      <c r="E101" s="276">
        <f t="shared" si="36"/>
        <v>1.514</v>
      </c>
      <c r="F101" s="276">
        <f t="shared" si="36"/>
        <v>1.514</v>
      </c>
      <c r="G101" s="276">
        <f t="shared" si="36"/>
        <v>1.514</v>
      </c>
      <c r="H101" s="276">
        <f t="shared" si="36"/>
        <v>1.514</v>
      </c>
      <c r="I101" s="276">
        <f t="shared" si="36"/>
        <v>1.514</v>
      </c>
      <c r="J101" s="276">
        <f t="shared" si="36"/>
        <v>1.514</v>
      </c>
      <c r="K101" s="273"/>
      <c r="O101" s="65"/>
      <c r="P101" s="65" t="s">
        <v>201</v>
      </c>
      <c r="Q101" s="65">
        <v>2076</v>
      </c>
      <c r="R101" s="65">
        <v>740</v>
      </c>
      <c r="S101" s="387">
        <f>+R101/Q101</f>
        <v>0.35645472061657035</v>
      </c>
    </row>
    <row r="102" spans="1:21" ht="10.199999999999999" customHeight="1" x14ac:dyDescent="0.25">
      <c r="A102" s="239" t="s">
        <v>419</v>
      </c>
      <c r="B102" s="129">
        <f t="shared" ref="B102:J102" si="37">+B99*2+B100*B101</f>
        <v>266.1959641731458</v>
      </c>
      <c r="C102" s="129">
        <f t="shared" si="37"/>
        <v>240.3268756159793</v>
      </c>
      <c r="D102" s="129">
        <f t="shared" si="37"/>
        <v>212.60990672841837</v>
      </c>
      <c r="E102" s="129">
        <f t="shared" si="37"/>
        <v>289.37359140281961</v>
      </c>
      <c r="F102" s="129">
        <f t="shared" si="37"/>
        <v>331.41527654857151</v>
      </c>
      <c r="G102" s="129">
        <f t="shared" si="37"/>
        <v>270.42675130269788</v>
      </c>
      <c r="H102" s="129">
        <f t="shared" si="37"/>
        <v>277.92318770280281</v>
      </c>
      <c r="I102" s="129">
        <f>+I99*2+I100*I101</f>
        <v>245.9909929706732</v>
      </c>
      <c r="J102" s="129">
        <f t="shared" si="37"/>
        <v>264.29188340653673</v>
      </c>
      <c r="K102" s="273"/>
      <c r="L102" s="370"/>
      <c r="M102" s="381"/>
      <c r="N102" s="381"/>
      <c r="O102" s="65"/>
      <c r="P102" s="65" t="s">
        <v>202</v>
      </c>
      <c r="Q102" s="65">
        <v>8003</v>
      </c>
      <c r="R102" s="65">
        <v>2862</v>
      </c>
      <c r="S102" s="387">
        <f>+R102/Q102</f>
        <v>0.35761589403973509</v>
      </c>
      <c r="U102" s="18"/>
    </row>
    <row r="103" spans="1:21" ht="10.199999999999999" customHeight="1" x14ac:dyDescent="0.25">
      <c r="A103" s="239" t="s">
        <v>420</v>
      </c>
      <c r="B103" s="493">
        <f t="shared" ref="B103:J103" si="38">1+B102/B93</f>
        <v>1.0671406611570249</v>
      </c>
      <c r="C103" s="493">
        <f t="shared" si="38"/>
        <v>1.0586748781869537</v>
      </c>
      <c r="D103" s="493">
        <f t="shared" si="38"/>
        <v>1.0521885259482511</v>
      </c>
      <c r="E103" s="493">
        <f t="shared" si="38"/>
        <v>1.0686961285753707</v>
      </c>
      <c r="F103" s="493">
        <f t="shared" si="38"/>
        <v>1.08100342114715</v>
      </c>
      <c r="G103" s="493">
        <f t="shared" si="38"/>
        <v>1.0659156476942409</v>
      </c>
      <c r="H103" s="493">
        <f t="shared" si="38"/>
        <v>1.0680815251563769</v>
      </c>
      <c r="I103" s="493">
        <f t="shared" si="38"/>
        <v>1.0618243369044289</v>
      </c>
      <c r="J103" s="493">
        <f t="shared" si="38"/>
        <v>1.0663297051331313</v>
      </c>
      <c r="K103" s="273"/>
      <c r="L103" s="380"/>
      <c r="M103" s="380"/>
      <c r="N103" s="380"/>
      <c r="O103" s="65"/>
      <c r="P103" s="65" t="s">
        <v>207</v>
      </c>
      <c r="Q103" s="65">
        <v>671</v>
      </c>
      <c r="R103" s="65">
        <v>200</v>
      </c>
      <c r="S103" s="387">
        <f t="shared" ref="S103:S109" si="39">+R103/Q103</f>
        <v>0.29806259314456035</v>
      </c>
    </row>
    <row r="104" spans="1:21" ht="18" customHeight="1" x14ac:dyDescent="0.25">
      <c r="A104" s="524"/>
      <c r="B104" s="377"/>
      <c r="C104" s="609"/>
      <c r="D104" s="609"/>
      <c r="E104" s="609"/>
      <c r="F104" s="609"/>
      <c r="G104" s="609"/>
      <c r="H104" s="609"/>
      <c r="I104" s="609"/>
      <c r="J104" s="609"/>
      <c r="K104" s="273"/>
      <c r="P104" s="65" t="s">
        <v>208</v>
      </c>
      <c r="Q104" s="65">
        <v>622</v>
      </c>
      <c r="R104" s="65">
        <v>245</v>
      </c>
      <c r="S104" s="387">
        <f t="shared" si="39"/>
        <v>0.39389067524115756</v>
      </c>
    </row>
    <row r="105" spans="1:21" s="18" customFormat="1" ht="18" customHeight="1" x14ac:dyDescent="0.25">
      <c r="A105" s="277" t="s">
        <v>357</v>
      </c>
      <c r="B105" s="525"/>
      <c r="C105" s="20"/>
      <c r="D105" s="20"/>
      <c r="E105" s="20"/>
      <c r="F105" s="20"/>
      <c r="G105" s="20"/>
      <c r="H105" s="20"/>
      <c r="I105" s="20"/>
      <c r="J105" s="20"/>
      <c r="L105" s="20"/>
      <c r="M105" s="64"/>
      <c r="N105" s="133"/>
      <c r="O105" s="133"/>
      <c r="P105" s="65" t="s">
        <v>209</v>
      </c>
      <c r="Q105" s="65">
        <v>211</v>
      </c>
      <c r="R105" s="701">
        <v>105.15</v>
      </c>
      <c r="S105" s="387">
        <f t="shared" si="39"/>
        <v>0.49834123222748816</v>
      </c>
      <c r="U105"/>
    </row>
    <row r="106" spans="1:21" ht="10.199999999999999" customHeight="1" x14ac:dyDescent="0.25">
      <c r="A106" s="239" t="s">
        <v>358</v>
      </c>
      <c r="B106" s="279">
        <f>+B107*2.2788191</f>
        <v>2698342.8598527</v>
      </c>
      <c r="C106" s="279">
        <f>+B106</f>
        <v>2698342.8598527</v>
      </c>
      <c r="D106" s="279">
        <f t="shared" ref="D106:J106" si="40">+C106</f>
        <v>2698342.8598527</v>
      </c>
      <c r="E106" s="279">
        <f t="shared" si="40"/>
        <v>2698342.8598527</v>
      </c>
      <c r="F106" s="279">
        <f t="shared" si="40"/>
        <v>2698342.8598527</v>
      </c>
      <c r="G106" s="279">
        <f>+G107*2.2788191</f>
        <v>2698342.8598527</v>
      </c>
      <c r="H106" s="279">
        <f t="shared" si="40"/>
        <v>2698342.8598527</v>
      </c>
      <c r="I106" s="279">
        <f t="shared" si="40"/>
        <v>2698342.8598527</v>
      </c>
      <c r="J106" s="279">
        <f t="shared" si="40"/>
        <v>2698342.8598527</v>
      </c>
      <c r="K106" s="232"/>
      <c r="L106" s="232"/>
      <c r="M106" s="232"/>
      <c r="P106" s="65" t="s">
        <v>210</v>
      </c>
      <c r="Q106" s="65">
        <v>5022</v>
      </c>
      <c r="R106" s="65">
        <v>2023</v>
      </c>
      <c r="S106" s="387">
        <f t="shared" si="39"/>
        <v>0.40282755874153725</v>
      </c>
    </row>
    <row r="107" spans="1:21" ht="10.199999999999999" customHeight="1" x14ac:dyDescent="0.25">
      <c r="A107" s="239" t="s">
        <v>421</v>
      </c>
      <c r="B107" s="391">
        <v>1184097</v>
      </c>
      <c r="C107" s="391">
        <f>+B107</f>
        <v>1184097</v>
      </c>
      <c r="D107" s="391">
        <f t="shared" ref="D107:J108" si="41">+C107</f>
        <v>1184097</v>
      </c>
      <c r="E107" s="391">
        <f t="shared" si="41"/>
        <v>1184097</v>
      </c>
      <c r="F107" s="391">
        <f t="shared" si="41"/>
        <v>1184097</v>
      </c>
      <c r="G107" s="391">
        <f t="shared" si="41"/>
        <v>1184097</v>
      </c>
      <c r="H107" s="391">
        <f t="shared" si="41"/>
        <v>1184097</v>
      </c>
      <c r="I107" s="391">
        <f t="shared" si="41"/>
        <v>1184097</v>
      </c>
      <c r="J107" s="391">
        <f t="shared" si="41"/>
        <v>1184097</v>
      </c>
      <c r="K107" s="232"/>
      <c r="L107" s="232"/>
      <c r="M107" s="232"/>
      <c r="P107" s="65" t="s">
        <v>211</v>
      </c>
      <c r="Q107" s="65">
        <v>1143</v>
      </c>
      <c r="R107" s="65">
        <v>479</v>
      </c>
      <c r="S107" s="387">
        <f t="shared" si="39"/>
        <v>0.41907261592300965</v>
      </c>
    </row>
    <row r="108" spans="1:21" ht="10.199999999999999" customHeight="1" x14ac:dyDescent="0.25">
      <c r="A108" s="239" t="s">
        <v>422</v>
      </c>
      <c r="B108" s="391">
        <v>1158655</v>
      </c>
      <c r="C108" s="391">
        <f>+B108</f>
        <v>1158655</v>
      </c>
      <c r="D108" s="391">
        <f t="shared" si="41"/>
        <v>1158655</v>
      </c>
      <c r="E108" s="391">
        <f t="shared" si="41"/>
        <v>1158655</v>
      </c>
      <c r="F108" s="391">
        <f t="shared" si="41"/>
        <v>1158655</v>
      </c>
      <c r="G108" s="391">
        <f t="shared" si="41"/>
        <v>1158655</v>
      </c>
      <c r="H108" s="391">
        <f t="shared" si="41"/>
        <v>1158655</v>
      </c>
      <c r="I108" s="391">
        <f t="shared" si="41"/>
        <v>1158655</v>
      </c>
      <c r="J108" s="391">
        <f t="shared" si="41"/>
        <v>1158655</v>
      </c>
      <c r="K108" s="232"/>
      <c r="L108" s="232"/>
      <c r="M108" s="232"/>
      <c r="P108" s="65" t="s">
        <v>212</v>
      </c>
      <c r="Q108" s="65">
        <v>3094</v>
      </c>
      <c r="R108" s="65">
        <v>1206</v>
      </c>
      <c r="S108" s="387">
        <f t="shared" si="39"/>
        <v>0.38978668390433097</v>
      </c>
    </row>
    <row r="109" spans="1:21" ht="10.199999999999999" customHeight="1" x14ac:dyDescent="0.25">
      <c r="A109" s="239" t="s">
        <v>361</v>
      </c>
      <c r="B109" s="279">
        <f t="shared" ref="B109:J109" si="42">SUMPRODUCT(B106:B108,B6:B8)/B9+B56</f>
        <v>1417380.4119602037</v>
      </c>
      <c r="C109" s="279">
        <f t="shared" si="42"/>
        <v>1417400.4953986059</v>
      </c>
      <c r="D109" s="279">
        <f t="shared" si="42"/>
        <v>1417400.4953986059</v>
      </c>
      <c r="E109" s="279">
        <f t="shared" si="42"/>
        <v>1417400.4968274001</v>
      </c>
      <c r="F109" s="279">
        <f t="shared" si="42"/>
        <v>1417400.4953986059</v>
      </c>
      <c r="G109" s="279">
        <f t="shared" si="42"/>
        <v>1417400.4953986059</v>
      </c>
      <c r="H109" s="279">
        <f t="shared" si="42"/>
        <v>1417400.4953986059</v>
      </c>
      <c r="I109" s="279">
        <f t="shared" si="42"/>
        <v>1417400.4953947032</v>
      </c>
      <c r="J109" s="279">
        <f t="shared" si="42"/>
        <v>1417400.4953947032</v>
      </c>
      <c r="K109" s="232"/>
      <c r="L109" s="379"/>
      <c r="P109" s="65" t="s">
        <v>213</v>
      </c>
      <c r="Q109" s="65">
        <v>1155</v>
      </c>
      <c r="R109" s="65">
        <v>469</v>
      </c>
      <c r="S109" s="387">
        <f t="shared" si="39"/>
        <v>0.40606060606060607</v>
      </c>
    </row>
    <row r="110" spans="1:21" ht="10.199999999999999" customHeight="1" x14ac:dyDescent="0.25">
      <c r="A110" s="239" t="s">
        <v>423</v>
      </c>
      <c r="B110" s="252">
        <v>0</v>
      </c>
      <c r="C110" s="252">
        <f t="shared" ref="C110:J112" si="43">+B110</f>
        <v>0</v>
      </c>
      <c r="D110" s="252">
        <f t="shared" si="43"/>
        <v>0</v>
      </c>
      <c r="E110" s="252">
        <f t="shared" si="43"/>
        <v>0</v>
      </c>
      <c r="F110" s="252">
        <f t="shared" si="43"/>
        <v>0</v>
      </c>
      <c r="G110" s="252">
        <f t="shared" si="43"/>
        <v>0</v>
      </c>
      <c r="H110" s="252">
        <f t="shared" si="43"/>
        <v>0</v>
      </c>
      <c r="I110" s="252">
        <f t="shared" si="43"/>
        <v>0</v>
      </c>
      <c r="J110" s="252">
        <f t="shared" si="43"/>
        <v>0</v>
      </c>
      <c r="K110" s="232"/>
      <c r="L110" s="66"/>
    </row>
    <row r="111" spans="1:21" ht="10.199999999999999" customHeight="1" x14ac:dyDescent="0.2">
      <c r="A111" s="239" t="s">
        <v>385</v>
      </c>
      <c r="B111" s="252">
        <v>0</v>
      </c>
      <c r="C111" s="252">
        <f t="shared" si="43"/>
        <v>0</v>
      </c>
      <c r="D111" s="252">
        <f t="shared" si="43"/>
        <v>0</v>
      </c>
      <c r="E111" s="252">
        <f t="shared" si="43"/>
        <v>0</v>
      </c>
      <c r="F111" s="252">
        <f t="shared" si="43"/>
        <v>0</v>
      </c>
      <c r="G111" s="252">
        <f t="shared" si="43"/>
        <v>0</v>
      </c>
      <c r="H111" s="252">
        <f t="shared" si="43"/>
        <v>0</v>
      </c>
      <c r="I111" s="252">
        <f t="shared" si="43"/>
        <v>0</v>
      </c>
      <c r="J111" s="252">
        <f t="shared" si="43"/>
        <v>0</v>
      </c>
      <c r="K111" s="91"/>
      <c r="L111" s="66"/>
      <c r="M111" s="462"/>
    </row>
    <row r="112" spans="1:21" ht="10.199999999999999" customHeight="1" x14ac:dyDescent="0.25">
      <c r="A112" s="239" t="s">
        <v>424</v>
      </c>
      <c r="B112" s="157">
        <f>+B111+B110</f>
        <v>0</v>
      </c>
      <c r="C112" s="157">
        <f t="shared" si="43"/>
        <v>0</v>
      </c>
      <c r="D112" s="157">
        <f t="shared" si="43"/>
        <v>0</v>
      </c>
      <c r="E112" s="157">
        <f t="shared" si="43"/>
        <v>0</v>
      </c>
      <c r="F112" s="157">
        <f t="shared" si="43"/>
        <v>0</v>
      </c>
      <c r="G112" s="157">
        <f t="shared" si="43"/>
        <v>0</v>
      </c>
      <c r="H112" s="157">
        <f t="shared" si="43"/>
        <v>0</v>
      </c>
      <c r="I112" s="157">
        <f t="shared" si="43"/>
        <v>0</v>
      </c>
      <c r="J112" s="157">
        <f t="shared" si="43"/>
        <v>0</v>
      </c>
      <c r="K112" s="133"/>
      <c r="L112" s="66"/>
    </row>
    <row r="113" spans="1:20" ht="18" customHeight="1" x14ac:dyDescent="0.25">
      <c r="A113" s="273" t="s">
        <v>362</v>
      </c>
      <c r="B113" s="278"/>
      <c r="C113" s="278"/>
      <c r="D113" s="278"/>
      <c r="E113" s="278"/>
      <c r="F113" s="278"/>
      <c r="G113" s="278"/>
      <c r="H113" s="278"/>
      <c r="I113" s="278"/>
      <c r="J113" s="278"/>
      <c r="K113" s="133"/>
      <c r="L113" s="489"/>
      <c r="M113" s="489"/>
      <c r="N113" s="489"/>
      <c r="O113" s="489"/>
      <c r="P113" s="489"/>
      <c r="Q113" s="489"/>
      <c r="R113" s="489"/>
      <c r="S113" s="489"/>
      <c r="T113" s="489"/>
    </row>
    <row r="114" spans="1:20" ht="10.199999999999999" customHeight="1" x14ac:dyDescent="0.2">
      <c r="A114" s="239" t="s">
        <v>363</v>
      </c>
      <c r="B114" s="279">
        <f>+B106</f>
        <v>2698342.8598527</v>
      </c>
      <c r="C114" s="279">
        <f t="shared" ref="C114:J119" si="44">+B114</f>
        <v>2698342.8598527</v>
      </c>
      <c r="D114" s="279">
        <f t="shared" si="44"/>
        <v>2698342.8598527</v>
      </c>
      <c r="E114" s="279">
        <f t="shared" si="44"/>
        <v>2698342.8598527</v>
      </c>
      <c r="F114" s="279">
        <f t="shared" si="44"/>
        <v>2698342.8598527</v>
      </c>
      <c r="G114" s="279">
        <f>+G106</f>
        <v>2698342.8598527</v>
      </c>
      <c r="H114" s="279">
        <f t="shared" si="44"/>
        <v>2698342.8598527</v>
      </c>
      <c r="I114" s="279">
        <f t="shared" si="44"/>
        <v>2698342.8598527</v>
      </c>
      <c r="J114" s="279">
        <f t="shared" si="44"/>
        <v>2698342.8598527</v>
      </c>
      <c r="K114" s="91"/>
      <c r="L114" s="91"/>
      <c r="M114" s="91"/>
      <c r="N114" s="65"/>
      <c r="O114" s="65"/>
      <c r="P114" s="65"/>
      <c r="Q114" s="65"/>
      <c r="R114" s="20"/>
      <c r="S114" s="20"/>
      <c r="T114" s="20"/>
    </row>
    <row r="115" spans="1:20" ht="10.199999999999999" customHeight="1" x14ac:dyDescent="0.2">
      <c r="A115" s="239" t="s">
        <v>364</v>
      </c>
      <c r="B115" s="391">
        <v>1201017</v>
      </c>
      <c r="C115" s="391">
        <f t="shared" ref="C115:J117" si="45">+B115</f>
        <v>1201017</v>
      </c>
      <c r="D115" s="391">
        <f t="shared" si="45"/>
        <v>1201017</v>
      </c>
      <c r="E115" s="391">
        <f t="shared" si="45"/>
        <v>1201017</v>
      </c>
      <c r="F115" s="391">
        <f t="shared" si="45"/>
        <v>1201017</v>
      </c>
      <c r="G115" s="391">
        <f t="shared" si="45"/>
        <v>1201017</v>
      </c>
      <c r="H115" s="391">
        <f t="shared" si="45"/>
        <v>1201017</v>
      </c>
      <c r="I115" s="391">
        <f t="shared" si="45"/>
        <v>1201017</v>
      </c>
      <c r="J115" s="391">
        <f t="shared" si="45"/>
        <v>1201017</v>
      </c>
      <c r="K115" s="91"/>
      <c r="L115" s="91"/>
      <c r="M115" s="91"/>
    </row>
    <row r="116" spans="1:20" ht="10.199999999999999" customHeight="1" x14ac:dyDescent="0.2">
      <c r="A116" s="239" t="s">
        <v>365</v>
      </c>
      <c r="B116" s="391">
        <v>1179769</v>
      </c>
      <c r="C116" s="391">
        <f t="shared" si="45"/>
        <v>1179769</v>
      </c>
      <c r="D116" s="391">
        <f t="shared" si="45"/>
        <v>1179769</v>
      </c>
      <c r="E116" s="391">
        <f t="shared" si="45"/>
        <v>1179769</v>
      </c>
      <c r="F116" s="391">
        <f t="shared" si="45"/>
        <v>1179769</v>
      </c>
      <c r="G116" s="391">
        <f t="shared" si="45"/>
        <v>1179769</v>
      </c>
      <c r="H116" s="391">
        <f t="shared" si="45"/>
        <v>1179769</v>
      </c>
      <c r="I116" s="391">
        <f t="shared" si="45"/>
        <v>1179769</v>
      </c>
      <c r="J116" s="391">
        <f t="shared" si="45"/>
        <v>1179769</v>
      </c>
      <c r="K116" s="91"/>
      <c r="L116" s="91"/>
      <c r="M116" s="91"/>
    </row>
    <row r="117" spans="1:20" ht="10.199999999999999" customHeight="1" x14ac:dyDescent="0.2">
      <c r="A117" s="239" t="s">
        <v>425</v>
      </c>
      <c r="B117" s="391">
        <v>1090996</v>
      </c>
      <c r="C117" s="391">
        <f t="shared" si="45"/>
        <v>1090996</v>
      </c>
      <c r="D117" s="391">
        <f t="shared" si="45"/>
        <v>1090996</v>
      </c>
      <c r="E117" s="391">
        <f t="shared" si="45"/>
        <v>1090996</v>
      </c>
      <c r="F117" s="391">
        <f t="shared" si="45"/>
        <v>1090996</v>
      </c>
      <c r="G117" s="391">
        <f t="shared" si="45"/>
        <v>1090996</v>
      </c>
      <c r="H117" s="391">
        <f t="shared" si="45"/>
        <v>1090996</v>
      </c>
      <c r="I117" s="391">
        <f t="shared" si="45"/>
        <v>1090996</v>
      </c>
      <c r="J117" s="391">
        <f t="shared" si="45"/>
        <v>1090996</v>
      </c>
      <c r="K117" s="91"/>
      <c r="L117" s="91"/>
      <c r="M117" s="91"/>
    </row>
    <row r="118" spans="1:20" ht="10.199999999999999" customHeight="1" x14ac:dyDescent="0.2">
      <c r="A118" s="239" t="s">
        <v>366</v>
      </c>
      <c r="B118" s="279">
        <f>SUMPRODUCT(B114:B117,B33:B36)/B37+B56</f>
        <v>1428324.5989610311</v>
      </c>
      <c r="C118" s="279">
        <f t="shared" si="44"/>
        <v>1428324.5989610311</v>
      </c>
      <c r="D118" s="279">
        <f t="shared" si="44"/>
        <v>1428324.5989610311</v>
      </c>
      <c r="E118" s="279">
        <f t="shared" si="44"/>
        <v>1428324.5989610311</v>
      </c>
      <c r="F118" s="279">
        <f t="shared" si="44"/>
        <v>1428324.5989610311</v>
      </c>
      <c r="G118" s="279">
        <f>SUMPRODUCT(G114:G117,G33:G36)/G37+G56</f>
        <v>1428344.5383846557</v>
      </c>
      <c r="H118" s="279">
        <f t="shared" si="44"/>
        <v>1428344.5383846557</v>
      </c>
      <c r="I118" s="279">
        <f t="shared" si="44"/>
        <v>1428344.5383846557</v>
      </c>
      <c r="J118" s="279">
        <f t="shared" si="44"/>
        <v>1428344.5383846557</v>
      </c>
      <c r="K118" s="91"/>
      <c r="L118" s="570"/>
      <c r="M118" s="117"/>
    </row>
    <row r="119" spans="1:20" ht="10.199999999999999" customHeight="1" x14ac:dyDescent="0.25">
      <c r="A119" s="249" t="s">
        <v>423</v>
      </c>
      <c r="B119" s="281">
        <v>0</v>
      </c>
      <c r="C119" s="280">
        <f>+B119</f>
        <v>0</v>
      </c>
      <c r="D119" s="281">
        <f t="shared" si="44"/>
        <v>0</v>
      </c>
      <c r="E119" s="280">
        <f t="shared" si="44"/>
        <v>0</v>
      </c>
      <c r="F119" s="280">
        <f t="shared" si="44"/>
        <v>0</v>
      </c>
      <c r="G119" s="280">
        <f t="shared" si="44"/>
        <v>0</v>
      </c>
      <c r="H119" s="280">
        <f t="shared" si="44"/>
        <v>0</v>
      </c>
      <c r="I119" s="280">
        <f t="shared" si="44"/>
        <v>0</v>
      </c>
      <c r="J119" s="280">
        <f t="shared" si="44"/>
        <v>0</v>
      </c>
      <c r="L119" s="570"/>
      <c r="M119" s="117"/>
    </row>
    <row r="120" spans="1:20" ht="18" customHeight="1" x14ac:dyDescent="0.25">
      <c r="A120" s="273" t="s">
        <v>367</v>
      </c>
      <c r="B120" s="278"/>
      <c r="C120" s="278"/>
      <c r="D120" s="278"/>
      <c r="E120" s="278"/>
      <c r="F120" s="278"/>
      <c r="G120" s="278"/>
      <c r="H120" s="278"/>
      <c r="I120" s="278"/>
      <c r="J120" s="278"/>
      <c r="K120" s="133"/>
      <c r="L120" s="66"/>
    </row>
    <row r="121" spans="1:20" ht="10.199999999999999" customHeight="1" x14ac:dyDescent="0.2">
      <c r="A121" s="360" t="s">
        <v>368</v>
      </c>
      <c r="B121" s="435">
        <f>+B122*2</f>
        <v>5396685.7197054001</v>
      </c>
      <c r="C121" s="435">
        <f t="shared" ref="C121:C126" si="46">+B121</f>
        <v>5396685.7197054001</v>
      </c>
      <c r="D121" s="436">
        <f t="shared" ref="D121:J122" si="47">+C121</f>
        <v>5396685.7197054001</v>
      </c>
      <c r="E121" s="435">
        <f t="shared" si="47"/>
        <v>5396685.7197054001</v>
      </c>
      <c r="F121" s="435">
        <f t="shared" si="47"/>
        <v>5396685.7197054001</v>
      </c>
      <c r="G121" s="435">
        <f>+G122*2</f>
        <v>5396685.7197054001</v>
      </c>
      <c r="H121" s="435">
        <f t="shared" si="47"/>
        <v>5396685.7197054001</v>
      </c>
      <c r="I121" s="435">
        <f t="shared" si="47"/>
        <v>5396685.7197054001</v>
      </c>
      <c r="J121" s="435">
        <f t="shared" si="47"/>
        <v>5396685.7197054001</v>
      </c>
      <c r="K121" s="91"/>
      <c r="L121" s="66"/>
    </row>
    <row r="122" spans="1:20" ht="10.199999999999999" customHeight="1" x14ac:dyDescent="0.2">
      <c r="A122" s="356" t="s">
        <v>369</v>
      </c>
      <c r="B122" s="434">
        <f>+B106</f>
        <v>2698342.8598527</v>
      </c>
      <c r="C122" s="434">
        <f t="shared" si="46"/>
        <v>2698342.8598527</v>
      </c>
      <c r="D122" s="433">
        <f t="shared" si="47"/>
        <v>2698342.8598527</v>
      </c>
      <c r="E122" s="434">
        <f t="shared" si="47"/>
        <v>2698342.8598527</v>
      </c>
      <c r="F122" s="434">
        <f t="shared" si="47"/>
        <v>2698342.8598527</v>
      </c>
      <c r="G122" s="434">
        <f>+G106</f>
        <v>2698342.8598527</v>
      </c>
      <c r="H122" s="434">
        <f t="shared" si="47"/>
        <v>2698342.8598527</v>
      </c>
      <c r="I122" s="434">
        <f t="shared" si="47"/>
        <v>2698342.8598527</v>
      </c>
      <c r="J122" s="434">
        <f t="shared" si="47"/>
        <v>2698342.8598527</v>
      </c>
      <c r="K122" s="91"/>
      <c r="L122" s="91"/>
      <c r="M122" s="91"/>
    </row>
    <row r="123" spans="1:20" ht="10.199999999999999" customHeight="1" x14ac:dyDescent="0.2">
      <c r="A123" s="356" t="s">
        <v>426</v>
      </c>
      <c r="B123" s="391">
        <v>1141764</v>
      </c>
      <c r="C123" s="391">
        <f t="shared" si="46"/>
        <v>1141764</v>
      </c>
      <c r="D123" s="391">
        <f t="shared" ref="D123:J125" si="48">+C123</f>
        <v>1141764</v>
      </c>
      <c r="E123" s="391">
        <f t="shared" si="48"/>
        <v>1141764</v>
      </c>
      <c r="F123" s="391">
        <f t="shared" si="48"/>
        <v>1141764</v>
      </c>
      <c r="G123" s="391">
        <f t="shared" si="48"/>
        <v>1141764</v>
      </c>
      <c r="H123" s="391">
        <f t="shared" si="48"/>
        <v>1141764</v>
      </c>
      <c r="I123" s="391">
        <f t="shared" si="48"/>
        <v>1141764</v>
      </c>
      <c r="J123" s="391">
        <f t="shared" si="48"/>
        <v>1141764</v>
      </c>
      <c r="K123" s="91"/>
      <c r="L123" s="91"/>
      <c r="M123" s="91"/>
    </row>
    <row r="124" spans="1:20" ht="10.199999999999999" customHeight="1" x14ac:dyDescent="0.2">
      <c r="A124" s="356" t="s">
        <v>371</v>
      </c>
      <c r="B124" s="391">
        <v>1141764</v>
      </c>
      <c r="C124" s="391">
        <f t="shared" si="46"/>
        <v>1141764</v>
      </c>
      <c r="D124" s="391">
        <f t="shared" si="48"/>
        <v>1141764</v>
      </c>
      <c r="E124" s="391">
        <f t="shared" si="48"/>
        <v>1141764</v>
      </c>
      <c r="F124" s="391">
        <f t="shared" si="48"/>
        <v>1141764</v>
      </c>
      <c r="G124" s="391">
        <f t="shared" si="48"/>
        <v>1141764</v>
      </c>
      <c r="H124" s="391">
        <f t="shared" si="48"/>
        <v>1141764</v>
      </c>
      <c r="I124" s="391">
        <f t="shared" si="48"/>
        <v>1141764</v>
      </c>
      <c r="J124" s="391">
        <f t="shared" si="48"/>
        <v>1141764</v>
      </c>
      <c r="K124" s="91"/>
      <c r="L124" s="91"/>
      <c r="M124" s="91"/>
    </row>
    <row r="125" spans="1:20" ht="10.199999999999999" customHeight="1" x14ac:dyDescent="0.2">
      <c r="A125" s="356" t="s">
        <v>427</v>
      </c>
      <c r="B125" s="391">
        <v>1107913</v>
      </c>
      <c r="C125" s="391">
        <f t="shared" si="46"/>
        <v>1107913</v>
      </c>
      <c r="D125" s="391">
        <f t="shared" si="48"/>
        <v>1107913</v>
      </c>
      <c r="E125" s="391">
        <f t="shared" si="48"/>
        <v>1107913</v>
      </c>
      <c r="F125" s="391">
        <f t="shared" si="48"/>
        <v>1107913</v>
      </c>
      <c r="G125" s="391">
        <f t="shared" si="48"/>
        <v>1107913</v>
      </c>
      <c r="H125" s="391">
        <f t="shared" si="48"/>
        <v>1107913</v>
      </c>
      <c r="I125" s="391">
        <f t="shared" si="48"/>
        <v>1107913</v>
      </c>
      <c r="J125" s="391">
        <f t="shared" si="48"/>
        <v>1107913</v>
      </c>
      <c r="K125" s="91"/>
      <c r="L125" s="91"/>
      <c r="M125" s="91"/>
    </row>
    <row r="126" spans="1:20" ht="10.199999999999999" customHeight="1" x14ac:dyDescent="0.2">
      <c r="A126" s="356" t="s">
        <v>63</v>
      </c>
      <c r="B126" s="433">
        <f>SUMPRODUCT(B121:B125,B39:B43)/B44+B56</f>
        <v>1569473.6454174819</v>
      </c>
      <c r="C126" s="434">
        <f t="shared" si="46"/>
        <v>1569473.6454174819</v>
      </c>
      <c r="D126" s="433">
        <f t="shared" ref="D126:J126" si="49">+C126</f>
        <v>1569473.6454174819</v>
      </c>
      <c r="E126" s="434">
        <f t="shared" si="49"/>
        <v>1569473.6454174819</v>
      </c>
      <c r="F126" s="434">
        <f t="shared" si="49"/>
        <v>1569473.6454174819</v>
      </c>
      <c r="G126" s="434">
        <f>SUMPRODUCT(G121:G125,G39:G43)/G44+G56</f>
        <v>1569502.5199768962</v>
      </c>
      <c r="H126" s="434">
        <f t="shared" si="49"/>
        <v>1569502.5199768962</v>
      </c>
      <c r="I126" s="434">
        <f t="shared" si="49"/>
        <v>1569502.5199768962</v>
      </c>
      <c r="J126" s="434">
        <f t="shared" si="49"/>
        <v>1569502.5199768962</v>
      </c>
      <c r="K126" s="91"/>
      <c r="L126" s="66"/>
    </row>
    <row r="127" spans="1:20" ht="10.199999999999999" customHeight="1" x14ac:dyDescent="0.2">
      <c r="A127" s="356" t="s">
        <v>423</v>
      </c>
      <c r="B127" s="361">
        <v>0</v>
      </c>
      <c r="C127" s="361">
        <f t="shared" ref="C127:J127" si="50">+B127</f>
        <v>0</v>
      </c>
      <c r="D127" s="362">
        <f t="shared" si="50"/>
        <v>0</v>
      </c>
      <c r="E127" s="361">
        <f t="shared" si="50"/>
        <v>0</v>
      </c>
      <c r="F127" s="361">
        <f t="shared" si="50"/>
        <v>0</v>
      </c>
      <c r="G127" s="361">
        <f t="shared" si="50"/>
        <v>0</v>
      </c>
      <c r="H127" s="361">
        <f t="shared" si="50"/>
        <v>0</v>
      </c>
      <c r="I127" s="361">
        <f t="shared" si="50"/>
        <v>0</v>
      </c>
      <c r="J127" s="361">
        <f t="shared" si="50"/>
        <v>0</v>
      </c>
      <c r="K127" s="91"/>
      <c r="L127" s="66"/>
    </row>
    <row r="128" spans="1:20" ht="17.55" customHeight="1" x14ac:dyDescent="0.2">
      <c r="A128" s="273" t="s">
        <v>428</v>
      </c>
      <c r="B128" s="404"/>
      <c r="C128" s="400"/>
      <c r="D128" s="400"/>
      <c r="E128" s="400"/>
      <c r="F128" s="400"/>
      <c r="G128" s="400"/>
      <c r="H128" s="400"/>
      <c r="I128" s="400"/>
      <c r="J128" s="400"/>
      <c r="K128" s="91"/>
      <c r="M128" s="376"/>
    </row>
    <row r="129" spans="1:20" ht="10.199999999999999" customHeight="1" x14ac:dyDescent="0.2">
      <c r="A129" s="356" t="s">
        <v>429</v>
      </c>
      <c r="B129" s="357">
        <v>0</v>
      </c>
      <c r="C129" s="357">
        <f>+B129</f>
        <v>0</v>
      </c>
      <c r="D129" s="353">
        <f t="shared" ref="D129:J131" si="51">+C129</f>
        <v>0</v>
      </c>
      <c r="E129" s="357">
        <f t="shared" si="51"/>
        <v>0</v>
      </c>
      <c r="F129" s="357">
        <f t="shared" si="51"/>
        <v>0</v>
      </c>
      <c r="G129" s="357">
        <f t="shared" si="51"/>
        <v>0</v>
      </c>
      <c r="H129" s="357">
        <f t="shared" si="51"/>
        <v>0</v>
      </c>
      <c r="I129" s="357">
        <f t="shared" si="51"/>
        <v>0</v>
      </c>
      <c r="J129" s="357">
        <f t="shared" si="51"/>
        <v>0</v>
      </c>
      <c r="K129" s="91"/>
      <c r="M129" s="376"/>
    </row>
    <row r="130" spans="1:20" ht="10.199999999999999" customHeight="1" x14ac:dyDescent="0.2">
      <c r="A130" s="356" t="s">
        <v>430</v>
      </c>
      <c r="B130" s="497">
        <v>5.1503800000000002E-2</v>
      </c>
      <c r="C130" s="497">
        <f>+B130</f>
        <v>5.1503800000000002E-2</v>
      </c>
      <c r="D130" s="497">
        <f t="shared" si="51"/>
        <v>5.1503800000000002E-2</v>
      </c>
      <c r="E130" s="497">
        <f t="shared" si="51"/>
        <v>5.1503800000000002E-2</v>
      </c>
      <c r="F130" s="497">
        <f t="shared" si="51"/>
        <v>5.1503800000000002E-2</v>
      </c>
      <c r="G130" s="497">
        <f t="shared" si="51"/>
        <v>5.1503800000000002E-2</v>
      </c>
      <c r="H130" s="497">
        <f t="shared" si="51"/>
        <v>5.1503800000000002E-2</v>
      </c>
      <c r="I130" s="497">
        <f t="shared" si="51"/>
        <v>5.1503800000000002E-2</v>
      </c>
      <c r="J130" s="497">
        <f t="shared" si="51"/>
        <v>5.1503800000000002E-2</v>
      </c>
      <c r="K130" s="91"/>
      <c r="M130" s="376"/>
    </row>
    <row r="131" spans="1:20" ht="10.199999999999999" customHeight="1" x14ac:dyDescent="0.2">
      <c r="A131" s="356" t="s">
        <v>431</v>
      </c>
      <c r="B131" s="358">
        <v>2.05E-4</v>
      </c>
      <c r="C131" s="358">
        <f>+B131</f>
        <v>2.05E-4</v>
      </c>
      <c r="D131" s="358">
        <f t="shared" si="51"/>
        <v>2.05E-4</v>
      </c>
      <c r="E131" s="358">
        <f t="shared" si="51"/>
        <v>2.05E-4</v>
      </c>
      <c r="F131" s="358">
        <f t="shared" si="51"/>
        <v>2.05E-4</v>
      </c>
      <c r="G131" s="358">
        <f t="shared" si="51"/>
        <v>2.05E-4</v>
      </c>
      <c r="H131" s="358">
        <f t="shared" si="51"/>
        <v>2.05E-4</v>
      </c>
      <c r="I131" s="358">
        <f t="shared" si="51"/>
        <v>2.05E-4</v>
      </c>
      <c r="J131" s="358">
        <f t="shared" si="51"/>
        <v>2.05E-4</v>
      </c>
      <c r="K131" s="91"/>
      <c r="L131" s="378"/>
      <c r="M131" s="377"/>
      <c r="N131" s="378"/>
      <c r="O131" s="378"/>
    </row>
    <row r="132" spans="1:20" ht="10.199999999999999" customHeight="1" x14ac:dyDescent="0.2">
      <c r="A132" s="359" t="s">
        <v>432</v>
      </c>
      <c r="B132" s="463">
        <f>+(B129*12*B45)+(B130*B142*'2- EMP. REP'!B6)+(B135*B136)+(12*B131*B138)/'2- EMP. REP'!B5</f>
        <v>228848536.87120742</v>
      </c>
      <c r="C132" s="463">
        <f>+(C129*12*C45)+(C130*C142*'2- EMP. REP'!C6)+(C135*C136)+(12*C131*C138)/'2- EMP. REP'!C5</f>
        <v>290516050.05765343</v>
      </c>
      <c r="D132" s="463">
        <f>+(D129*12*D45)+(D130*D142*'2- EMP. REP'!D6)+(D135*D136)+(12*D131*D138)/'2- EMP. REP'!D5</f>
        <v>773129460.27415431</v>
      </c>
      <c r="E132" s="463">
        <f>+(E129*12*E45)+(E130*E142*'2- EMP. REP'!E6)+(E135*E136)+(12*E131*E138)/'2- EMP. REP'!E5</f>
        <v>422493675.30886036</v>
      </c>
      <c r="F132" s="463">
        <f>+(F129*12*F45)+(F130*F142*'2- EMP. REP'!F6)+(F135*F136)+(12*F131*F138)/'2- EMP. REP'!F5</f>
        <v>78937096.565187648</v>
      </c>
      <c r="G132" s="463">
        <f>+(G129*12*G45)+(G130*G142*'2- EMP. REP'!G6)+(G135*G136)+(12*G131*G138)/'2- EMP. REP'!G5</f>
        <v>173332739.05546471</v>
      </c>
      <c r="H132" s="463">
        <f>+(H129*12*H45)+(H130*H142*'2- EMP. REP'!H6)+(H135*H136)+(12*H131*H138)/'2- EMP. REP'!H5</f>
        <v>202979443.26271439</v>
      </c>
      <c r="I132" s="463">
        <f>+(I129*12*I45)+(I130*I142*'2- EMP. REP'!I6)+(I135*I136)+(12*I131*I138)/'2- EMP. REP'!I5</f>
        <v>141812100.57416156</v>
      </c>
      <c r="J132" s="463">
        <f>+(J129*12*J45)+(J130*J142*'2- EMP. REP'!J6)+(J135*J136)+(12*J131*J138)/'2- EMP. REP'!J5</f>
        <v>86032422.416628301</v>
      </c>
      <c r="K132" s="91"/>
      <c r="L132" s="571"/>
      <c r="M132" s="370"/>
      <c r="N132" s="370"/>
      <c r="O132" s="370"/>
      <c r="P132" s="370"/>
      <c r="Q132" s="370"/>
      <c r="R132" s="370"/>
      <c r="S132" s="370"/>
      <c r="T132" s="370"/>
    </row>
    <row r="133" spans="1:20" ht="17.55" customHeight="1" x14ac:dyDescent="0.25">
      <c r="B133" s="396"/>
      <c r="C133" s="396"/>
      <c r="D133" s="396"/>
      <c r="E133" s="396"/>
      <c r="F133" s="396"/>
      <c r="G133" s="396"/>
      <c r="H133" s="396"/>
      <c r="I133" s="396"/>
      <c r="J133" s="396"/>
      <c r="K133" s="396"/>
      <c r="L133" s="396"/>
      <c r="M133" s="396"/>
      <c r="N133" s="396"/>
      <c r="O133" s="396"/>
      <c r="P133" s="396"/>
      <c r="Q133" s="396"/>
    </row>
    <row r="134" spans="1:20" ht="17.55" customHeight="1" x14ac:dyDescent="0.2">
      <c r="A134" s="273" t="s">
        <v>433</v>
      </c>
      <c r="C134" s="506"/>
      <c r="D134" s="506"/>
      <c r="E134" s="506"/>
      <c r="F134" s="506"/>
      <c r="G134" s="506"/>
      <c r="H134" s="506"/>
      <c r="I134" s="506"/>
      <c r="J134" s="506"/>
      <c r="K134" s="507"/>
      <c r="L134" s="91"/>
      <c r="M134" s="91"/>
      <c r="N134" s="91"/>
    </row>
    <row r="135" spans="1:20" ht="10.199999999999999" customHeight="1" x14ac:dyDescent="0.2">
      <c r="A135" s="239" t="s">
        <v>434</v>
      </c>
      <c r="B135" s="284">
        <v>0.75</v>
      </c>
      <c r="C135" s="284">
        <f>+B135</f>
        <v>0.75</v>
      </c>
      <c r="D135" s="284">
        <f t="shared" ref="D135:I135" si="52">+C135</f>
        <v>0.75</v>
      </c>
      <c r="E135" s="284">
        <f t="shared" si="52"/>
        <v>0.75</v>
      </c>
      <c r="F135" s="284">
        <f t="shared" si="52"/>
        <v>0.75</v>
      </c>
      <c r="G135" s="284">
        <f t="shared" si="52"/>
        <v>0.75</v>
      </c>
      <c r="H135" s="284">
        <f t="shared" si="52"/>
        <v>0.75</v>
      </c>
      <c r="I135" s="284">
        <f t="shared" si="52"/>
        <v>0.75</v>
      </c>
      <c r="J135" s="284">
        <f>+I135</f>
        <v>0.75</v>
      </c>
      <c r="K135" s="91"/>
      <c r="L135" s="91"/>
      <c r="M135" s="91"/>
      <c r="N135" s="91"/>
    </row>
    <row r="136" spans="1:20" ht="10.199999999999999" customHeight="1" x14ac:dyDescent="0.2">
      <c r="A136" s="239" t="s">
        <v>435</v>
      </c>
      <c r="B136" s="284">
        <v>19729</v>
      </c>
      <c r="C136" s="284">
        <f t="shared" ref="C136:J136" si="53">+B136</f>
        <v>19729</v>
      </c>
      <c r="D136" s="284">
        <f t="shared" si="53"/>
        <v>19729</v>
      </c>
      <c r="E136" s="284">
        <f t="shared" si="53"/>
        <v>19729</v>
      </c>
      <c r="F136" s="284">
        <f t="shared" si="53"/>
        <v>19729</v>
      </c>
      <c r="G136" s="284">
        <f t="shared" si="53"/>
        <v>19729</v>
      </c>
      <c r="H136" s="284">
        <f t="shared" si="53"/>
        <v>19729</v>
      </c>
      <c r="I136" s="284">
        <f t="shared" si="53"/>
        <v>19729</v>
      </c>
      <c r="J136" s="284">
        <f t="shared" si="53"/>
        <v>19729</v>
      </c>
      <c r="K136" s="91"/>
      <c r="L136" s="91"/>
      <c r="M136" s="91"/>
      <c r="N136" s="91"/>
      <c r="O136" s="65"/>
      <c r="P136" s="65"/>
    </row>
    <row r="137" spans="1:20" ht="21" customHeight="1" x14ac:dyDescent="0.2">
      <c r="A137" s="273" t="s">
        <v>436</v>
      </c>
      <c r="B137" s="491"/>
      <c r="C137" s="491"/>
      <c r="D137" s="491"/>
      <c r="E137" s="491"/>
      <c r="F137" s="491"/>
      <c r="G137" s="491"/>
      <c r="H137" s="491"/>
      <c r="I137" s="491"/>
      <c r="J137" s="491"/>
      <c r="K137" s="91"/>
      <c r="L137" s="91"/>
      <c r="M137" s="91"/>
      <c r="N137" s="91"/>
      <c r="O137" s="65"/>
      <c r="P137" s="65"/>
    </row>
    <row r="138" spans="1:20" ht="10.8" customHeight="1" x14ac:dyDescent="0.2">
      <c r="A138" s="239" t="s">
        <v>356</v>
      </c>
      <c r="B138" s="282">
        <f>+B4*(13*B57*(1+B74+B73)*B103+12*B65+B88+B89+B90)-B145</f>
        <v>69452171.918553963</v>
      </c>
      <c r="C138" s="282">
        <f>+C4*(13*C57*(1+C74+C73)*C103+12*C65+C88+C89+C90)-C145</f>
        <v>71194825.132754132</v>
      </c>
      <c r="D138" s="282">
        <f t="shared" ref="D138:J138" si="54">+D4*(13*D57*(1+D74+D73)*D103+12*D65+D88+D89+D90)-D145</f>
        <v>70808175.443589225</v>
      </c>
      <c r="E138" s="282">
        <f t="shared" si="54"/>
        <v>73840191.782997668</v>
      </c>
      <c r="F138" s="282">
        <f t="shared" si="54"/>
        <v>72525823.493211985</v>
      </c>
      <c r="G138" s="282">
        <f t="shared" si="54"/>
        <v>71626445.429691225</v>
      </c>
      <c r="H138" s="282">
        <f t="shared" si="54"/>
        <v>71755552.794923007</v>
      </c>
      <c r="I138" s="282">
        <f t="shared" si="54"/>
        <v>69145200.108399928</v>
      </c>
      <c r="J138" s="282">
        <f t="shared" si="54"/>
        <v>69405346.21214819</v>
      </c>
      <c r="K138" s="506"/>
      <c r="L138" s="584"/>
      <c r="M138" s="584"/>
      <c r="N138" s="91"/>
      <c r="O138" s="230"/>
      <c r="P138" s="380"/>
    </row>
    <row r="139" spans="1:20" ht="10.8" customHeight="1" x14ac:dyDescent="0.2">
      <c r="A139" s="239" t="s">
        <v>357</v>
      </c>
      <c r="B139" s="282">
        <f t="shared" ref="B139" si="55">+B9*(13*B109*(1+B74)+12*B112+12*B62+B89+B90+B88)-B146</f>
        <v>6018398.1328823762</v>
      </c>
      <c r="C139" s="282">
        <f t="shared" ref="C139:J139" si="56">+C9*(13*C109*(1+C74)+12*C112+12*C62+C89+C90+C88)-C146</f>
        <v>5312466.3267711345</v>
      </c>
      <c r="D139" s="282">
        <f t="shared" si="56"/>
        <v>5312466.3267711345</v>
      </c>
      <c r="E139" s="282">
        <f t="shared" si="56"/>
        <v>5811296.6264226483</v>
      </c>
      <c r="F139" s="282">
        <f t="shared" si="56"/>
        <v>5312466.3267711345</v>
      </c>
      <c r="G139" s="282">
        <f t="shared" si="56"/>
        <v>5312466.3267711345</v>
      </c>
      <c r="H139" s="282">
        <f t="shared" si="56"/>
        <v>5312466.3267711345</v>
      </c>
      <c r="I139" s="282">
        <f t="shared" si="56"/>
        <v>6018552.2282105219</v>
      </c>
      <c r="J139" s="282">
        <f t="shared" si="56"/>
        <v>6018552.2282105219</v>
      </c>
      <c r="K139" s="506"/>
      <c r="L139" s="584"/>
      <c r="M139" s="584"/>
      <c r="N139" s="91"/>
      <c r="O139" s="230"/>
      <c r="P139" s="380"/>
    </row>
    <row r="140" spans="1:20" ht="10.8" customHeight="1" x14ac:dyDescent="0.2">
      <c r="A140" s="239" t="s">
        <v>362</v>
      </c>
      <c r="B140" s="282">
        <f t="shared" ref="B140" si="57">+B15*(13*B118*(1+B74)+12*B119+12*B62+B88+B89+B90)-B147</f>
        <v>6526349.4116454599</v>
      </c>
      <c r="C140" s="282">
        <f t="shared" ref="C140:J140" si="58">+C15*(13*C118*(1+C74)+12*C119+12*C62+C88+C89+C90)-C147</f>
        <v>7197529.1538894502</v>
      </c>
      <c r="D140" s="282">
        <f t="shared" si="58"/>
        <v>7197529.1538894502</v>
      </c>
      <c r="E140" s="282">
        <f t="shared" si="58"/>
        <v>7873363.2099862397</v>
      </c>
      <c r="F140" s="282">
        <f t="shared" si="58"/>
        <v>7197529.1538894502</v>
      </c>
      <c r="G140" s="282">
        <f t="shared" si="58"/>
        <v>7197526.7677321369</v>
      </c>
      <c r="H140" s="282">
        <f t="shared" si="58"/>
        <v>7197526.7677321369</v>
      </c>
      <c r="I140" s="282">
        <f t="shared" si="58"/>
        <v>6526515.4021937186</v>
      </c>
      <c r="J140" s="282">
        <f t="shared" si="58"/>
        <v>6526515.4021937186</v>
      </c>
      <c r="K140" s="506"/>
      <c r="L140" s="584"/>
      <c r="M140" s="584"/>
      <c r="N140" s="91"/>
      <c r="O140" s="230"/>
      <c r="P140" s="380"/>
    </row>
    <row r="141" spans="1:20" ht="10.8" customHeight="1" x14ac:dyDescent="0.2">
      <c r="A141" s="239" t="s">
        <v>437</v>
      </c>
      <c r="B141" s="157">
        <f t="shared" ref="B141" si="59">+B22*(13*B126*(1+B74)+12*B127+12*B62+B88+B89+B90)-B148</f>
        <v>3831395.2250065492</v>
      </c>
      <c r="C141" s="157">
        <f t="shared" ref="C141:J141" si="60">+C22*(13*C126*(1+C74)+12*C127+12*C62+C88+C89+C90)-C148</f>
        <v>4054814.0129623665</v>
      </c>
      <c r="D141" s="157">
        <f t="shared" si="60"/>
        <v>4054814.0129623665</v>
      </c>
      <c r="E141" s="157">
        <f t="shared" si="60"/>
        <v>4435553.1963860895</v>
      </c>
      <c r="F141" s="157">
        <f t="shared" si="60"/>
        <v>4054814.0129623665</v>
      </c>
      <c r="G141" s="157">
        <f t="shared" si="60"/>
        <v>4054812.3651395813</v>
      </c>
      <c r="H141" s="157">
        <f t="shared" si="60"/>
        <v>4054812.3651395813</v>
      </c>
      <c r="I141" s="157">
        <f t="shared" si="60"/>
        <v>3831484.3970036707</v>
      </c>
      <c r="J141" s="157">
        <f t="shared" si="60"/>
        <v>3831484.3970036707</v>
      </c>
      <c r="K141" s="506"/>
      <c r="L141" s="584"/>
      <c r="M141" s="584"/>
      <c r="N141" s="91"/>
      <c r="O141" s="230"/>
      <c r="P141" s="380"/>
    </row>
    <row r="142" spans="1:20" ht="10.8" customHeight="1" x14ac:dyDescent="0.2">
      <c r="A142" s="238" t="s">
        <v>438</v>
      </c>
      <c r="B142" s="156">
        <f>SUM(B138:B141)</f>
        <v>85828314.688088343</v>
      </c>
      <c r="C142" s="156">
        <f t="shared" ref="C142:J142" si="61">SUM(C138:C141)</f>
        <v>87759634.626377091</v>
      </c>
      <c r="D142" s="156">
        <f t="shared" si="61"/>
        <v>87372984.937212184</v>
      </c>
      <c r="E142" s="156">
        <f t="shared" si="61"/>
        <v>91960404.815792635</v>
      </c>
      <c r="F142" s="156">
        <f t="shared" si="61"/>
        <v>89090632.986834943</v>
      </c>
      <c r="G142" s="156">
        <f t="shared" si="61"/>
        <v>88191250.889334083</v>
      </c>
      <c r="H142" s="156">
        <f t="shared" si="61"/>
        <v>88320358.254565865</v>
      </c>
      <c r="I142" s="156">
        <f t="shared" si="61"/>
        <v>85521752.135807842</v>
      </c>
      <c r="J142" s="156">
        <f t="shared" si="61"/>
        <v>85781898.239556104</v>
      </c>
      <c r="K142" s="506"/>
      <c r="L142" s="586"/>
      <c r="M142" s="507"/>
      <c r="N142" s="91"/>
      <c r="O142" s="387"/>
      <c r="P142" s="380"/>
    </row>
    <row r="143" spans="1:20" ht="18.75" customHeight="1" x14ac:dyDescent="0.2">
      <c r="A143" s="273" t="s">
        <v>439</v>
      </c>
      <c r="B143" s="478"/>
      <c r="C143" s="478"/>
      <c r="D143" s="478"/>
      <c r="E143" s="478"/>
      <c r="F143" s="478"/>
      <c r="G143" s="478"/>
      <c r="H143" s="478"/>
      <c r="I143" s="478"/>
      <c r="J143" s="478"/>
      <c r="K143" s="91"/>
      <c r="L143" s="415"/>
      <c r="M143" s="91"/>
      <c r="N143" s="91"/>
      <c r="O143" s="65"/>
      <c r="P143" s="65"/>
    </row>
    <row r="144" spans="1:20" ht="10.8" customHeight="1" x14ac:dyDescent="0.2">
      <c r="A144" s="286" t="s">
        <v>440</v>
      </c>
      <c r="B144" s="283">
        <v>10505.52</v>
      </c>
      <c r="C144" s="283">
        <f>+B144</f>
        <v>10505.52</v>
      </c>
      <c r="D144" s="283">
        <f t="shared" ref="D144:J144" si="62">+C144</f>
        <v>10505.52</v>
      </c>
      <c r="E144" s="283">
        <f t="shared" si="62"/>
        <v>10505.52</v>
      </c>
      <c r="F144" s="283">
        <f t="shared" si="62"/>
        <v>10505.52</v>
      </c>
      <c r="G144" s="283">
        <f t="shared" si="62"/>
        <v>10505.52</v>
      </c>
      <c r="H144" s="283">
        <f t="shared" si="62"/>
        <v>10505.52</v>
      </c>
      <c r="I144" s="283">
        <f t="shared" si="62"/>
        <v>10505.52</v>
      </c>
      <c r="J144" s="283">
        <f t="shared" si="62"/>
        <v>10505.52</v>
      </c>
      <c r="K144" s="91"/>
      <c r="L144" s="91"/>
      <c r="M144" s="415"/>
      <c r="N144" s="91"/>
      <c r="O144" s="65"/>
      <c r="P144" s="65"/>
    </row>
    <row r="145" spans="1:17" ht="10.8" customHeight="1" x14ac:dyDescent="0.2">
      <c r="A145" s="239" t="s">
        <v>356</v>
      </c>
      <c r="B145" s="282">
        <f t="shared" ref="B145:J145" si="63">12*B4*$B$144*$B$150</f>
        <v>50436.551058430356</v>
      </c>
      <c r="C145" s="282">
        <f t="shared" si="63"/>
        <v>52068.549999660485</v>
      </c>
      <c r="D145" s="282">
        <f t="shared" si="63"/>
        <v>52068.549999660485</v>
      </c>
      <c r="E145" s="282">
        <f t="shared" si="63"/>
        <v>53553.900000020294</v>
      </c>
      <c r="F145" s="282">
        <f t="shared" si="63"/>
        <v>52068.549999660485</v>
      </c>
      <c r="G145" s="282">
        <f t="shared" si="63"/>
        <v>52068.549999660485</v>
      </c>
      <c r="H145" s="282">
        <f t="shared" si="63"/>
        <v>52068.549999660485</v>
      </c>
      <c r="I145" s="282">
        <f t="shared" si="63"/>
        <v>50436.551058430356</v>
      </c>
      <c r="J145" s="282">
        <f t="shared" si="63"/>
        <v>50436.551058430356</v>
      </c>
      <c r="K145" s="91"/>
      <c r="L145" s="91"/>
      <c r="M145" s="91"/>
      <c r="N145" s="91"/>
      <c r="O145" s="285"/>
      <c r="P145" s="65"/>
    </row>
    <row r="146" spans="1:17" ht="10.8" customHeight="1" x14ac:dyDescent="0.2">
      <c r="A146" s="239" t="s">
        <v>357</v>
      </c>
      <c r="B146" s="282">
        <f t="shared" ref="B146:J146" si="64">12*B9*B144*B150</f>
        <v>5174.7937383699964</v>
      </c>
      <c r="C146" s="282">
        <f t="shared" si="64"/>
        <v>4567.75696337718</v>
      </c>
      <c r="D146" s="282">
        <f t="shared" si="64"/>
        <v>4567.75696337718</v>
      </c>
      <c r="E146" s="282">
        <f t="shared" si="64"/>
        <v>4996.6604916894576</v>
      </c>
      <c r="F146" s="282">
        <f t="shared" si="64"/>
        <v>4567.75696337718</v>
      </c>
      <c r="G146" s="282">
        <f t="shared" si="64"/>
        <v>4567.75696337718</v>
      </c>
      <c r="H146" s="282">
        <f t="shared" si="64"/>
        <v>4567.75696337718</v>
      </c>
      <c r="I146" s="282">
        <f t="shared" si="64"/>
        <v>5174.8627019782689</v>
      </c>
      <c r="J146" s="282">
        <f t="shared" si="64"/>
        <v>5174.8627019782689</v>
      </c>
      <c r="K146" s="91"/>
      <c r="L146" s="91"/>
      <c r="M146" s="91"/>
      <c r="N146" s="91"/>
      <c r="O146" s="285"/>
      <c r="P146" s="65"/>
    </row>
    <row r="147" spans="1:17" ht="10.8" customHeight="1" x14ac:dyDescent="0.2">
      <c r="A147" s="239" t="s">
        <v>362</v>
      </c>
      <c r="B147" s="282">
        <f t="shared" ref="B147:J147" si="65">12*B15*B144*B150</f>
        <v>5574.2521270720199</v>
      </c>
      <c r="C147" s="282">
        <f t="shared" si="65"/>
        <v>6147.5167302781074</v>
      </c>
      <c r="D147" s="282">
        <f t="shared" si="65"/>
        <v>6147.5167302781074</v>
      </c>
      <c r="E147" s="282">
        <f t="shared" si="65"/>
        <v>6724.7566521895842</v>
      </c>
      <c r="F147" s="282">
        <f t="shared" si="65"/>
        <v>6147.5167302781074</v>
      </c>
      <c r="G147" s="282">
        <f t="shared" si="65"/>
        <v>6147.4402589669853</v>
      </c>
      <c r="H147" s="282">
        <f t="shared" si="65"/>
        <v>6147.4402589669853</v>
      </c>
      <c r="I147" s="282">
        <f t="shared" si="65"/>
        <v>5574.326408077477</v>
      </c>
      <c r="J147" s="282">
        <f t="shared" si="65"/>
        <v>5574.326408077477</v>
      </c>
      <c r="K147" s="91"/>
      <c r="L147" s="91"/>
      <c r="M147" s="91"/>
      <c r="N147" s="91"/>
      <c r="O147" s="65"/>
      <c r="P147" s="65"/>
    </row>
    <row r="148" spans="1:17" ht="10.8" customHeight="1" x14ac:dyDescent="0.2">
      <c r="A148" s="239" t="s">
        <v>437</v>
      </c>
      <c r="B148" s="282">
        <f t="shared" ref="B148:J148" si="66">12*B22*B144*B150</f>
        <v>3014.1085142859783</v>
      </c>
      <c r="C148" s="282">
        <f t="shared" si="66"/>
        <v>3189.8691527692945</v>
      </c>
      <c r="D148" s="282">
        <f t="shared" si="66"/>
        <v>3189.8691527692945</v>
      </c>
      <c r="E148" s="282">
        <f t="shared" si="66"/>
        <v>3489.3916888391082</v>
      </c>
      <c r="F148" s="282">
        <f t="shared" si="66"/>
        <v>3189.8691527692945</v>
      </c>
      <c r="G148" s="282">
        <f t="shared" si="66"/>
        <v>3189.8163422671546</v>
      </c>
      <c r="H148" s="282">
        <f t="shared" si="66"/>
        <v>3189.8163422671546</v>
      </c>
      <c r="I148" s="282">
        <f t="shared" si="66"/>
        <v>3014.129987808501</v>
      </c>
      <c r="J148" s="282">
        <f t="shared" si="66"/>
        <v>3014.129987808501</v>
      </c>
      <c r="K148" s="91"/>
      <c r="L148" s="91"/>
      <c r="M148" s="91"/>
      <c r="N148" s="91"/>
      <c r="O148" s="65"/>
      <c r="P148" s="65"/>
    </row>
    <row r="149" spans="1:17" ht="9.75" customHeight="1" x14ac:dyDescent="0.2">
      <c r="A149" s="90"/>
      <c r="B149" s="528"/>
      <c r="C149" s="528"/>
      <c r="D149" s="528"/>
      <c r="E149" s="528"/>
      <c r="F149" s="528"/>
      <c r="G149" s="528"/>
      <c r="H149" s="528"/>
      <c r="I149" s="528"/>
      <c r="J149" s="528"/>
      <c r="K149" s="91"/>
      <c r="L149" s="91"/>
      <c r="M149" s="91"/>
      <c r="N149" s="91"/>
      <c r="O149" s="65"/>
      <c r="P149" s="65"/>
    </row>
    <row r="150" spans="1:17" ht="16.2" customHeight="1" x14ac:dyDescent="0.2">
      <c r="A150" s="239" t="s">
        <v>395</v>
      </c>
      <c r="B150" s="255">
        <v>0.18</v>
      </c>
      <c r="C150" s="255">
        <v>0.18</v>
      </c>
      <c r="D150" s="255">
        <v>0.18</v>
      </c>
      <c r="E150" s="255">
        <v>0.18</v>
      </c>
      <c r="F150" s="255">
        <v>0.18</v>
      </c>
      <c r="G150" s="255">
        <v>0.18</v>
      </c>
      <c r="H150" s="255">
        <v>0.18</v>
      </c>
      <c r="I150" s="255">
        <v>0.18</v>
      </c>
      <c r="J150" s="255">
        <v>0.18</v>
      </c>
      <c r="K150" s="91"/>
      <c r="L150" s="91"/>
      <c r="M150" s="91"/>
      <c r="N150" s="91"/>
    </row>
    <row r="151" spans="1:17" ht="11.55" customHeight="1" x14ac:dyDescent="0.2">
      <c r="A151" s="287"/>
      <c r="B151" s="533"/>
      <c r="C151" s="533"/>
      <c r="D151" s="533"/>
      <c r="E151" s="533"/>
      <c r="F151" s="533"/>
      <c r="G151" s="533"/>
      <c r="H151" s="533"/>
      <c r="I151" s="533"/>
      <c r="J151" s="533"/>
      <c r="K151" s="91"/>
      <c r="L151" s="91"/>
      <c r="M151" s="91"/>
      <c r="N151" s="91"/>
    </row>
    <row r="152" spans="1:17" ht="11.55" customHeight="1" x14ac:dyDescent="0.2">
      <c r="A152" s="133"/>
      <c r="B152" s="533"/>
      <c r="C152" s="533"/>
      <c r="D152" s="533"/>
      <c r="E152" s="533"/>
      <c r="F152" s="533"/>
      <c r="G152" s="533"/>
      <c r="H152" s="533"/>
      <c r="I152" s="533"/>
      <c r="J152" s="533"/>
      <c r="K152" s="91"/>
      <c r="L152" s="91"/>
      <c r="M152" s="91"/>
      <c r="N152" s="91"/>
    </row>
    <row r="153" spans="1:17" s="20" customFormat="1" ht="9.75" customHeight="1" x14ac:dyDescent="0.25">
      <c r="A153" s="288" t="s">
        <v>250</v>
      </c>
      <c r="B153" s="197" t="s">
        <v>298</v>
      </c>
      <c r="C153" s="197" t="s">
        <v>299</v>
      </c>
      <c r="D153" s="197" t="s">
        <v>300</v>
      </c>
      <c r="E153" s="197" t="s">
        <v>445</v>
      </c>
      <c r="F153" s="197" t="s">
        <v>446</v>
      </c>
      <c r="G153" s="197" t="s">
        <v>447</v>
      </c>
      <c r="H153" s="197" t="s">
        <v>301</v>
      </c>
      <c r="I153" s="197" t="s">
        <v>302</v>
      </c>
      <c r="J153" s="197" t="s">
        <v>303</v>
      </c>
      <c r="K153" s="231"/>
      <c r="L153" s="65"/>
      <c r="M153" s="65"/>
      <c r="N153" s="65"/>
      <c r="O153" s="65"/>
      <c r="P153" s="65"/>
      <c r="Q153" s="65"/>
    </row>
    <row r="154" spans="1:17" ht="8.5500000000000007" customHeight="1" x14ac:dyDescent="0.2">
      <c r="A154" s="90"/>
      <c r="B154" s="91"/>
      <c r="C154" s="91"/>
      <c r="D154" s="231"/>
      <c r="E154" s="91"/>
      <c r="F154" s="91"/>
      <c r="G154" s="91"/>
      <c r="H154" s="91"/>
      <c r="I154" s="91"/>
      <c r="J154" s="91"/>
      <c r="K154" s="91"/>
    </row>
    <row r="155" spans="1:17" ht="10.8" customHeight="1" x14ac:dyDescent="0.2">
      <c r="A155" s="239" t="s">
        <v>441</v>
      </c>
      <c r="B155" s="271">
        <v>420.50114159999998</v>
      </c>
      <c r="C155" s="271">
        <f>+B155</f>
        <v>420.50114159999998</v>
      </c>
      <c r="D155" s="271">
        <f t="shared" ref="D155:J156" si="67">+C155</f>
        <v>420.50114159999998</v>
      </c>
      <c r="E155" s="271">
        <f t="shared" si="67"/>
        <v>420.50114159999998</v>
      </c>
      <c r="F155" s="271">
        <f t="shared" si="67"/>
        <v>420.50114159999998</v>
      </c>
      <c r="G155" s="271">
        <f t="shared" si="67"/>
        <v>420.50114159999998</v>
      </c>
      <c r="H155" s="271">
        <f t="shared" si="67"/>
        <v>420.50114159999998</v>
      </c>
      <c r="I155" s="271">
        <f t="shared" si="67"/>
        <v>420.50114159999998</v>
      </c>
      <c r="J155" s="271">
        <f t="shared" si="67"/>
        <v>420.50114159999998</v>
      </c>
      <c r="K155" s="91"/>
    </row>
    <row r="156" spans="1:17" ht="10.8" customHeight="1" x14ac:dyDescent="0.2">
      <c r="A156" s="239" t="s">
        <v>442</v>
      </c>
      <c r="B156" s="271">
        <v>365</v>
      </c>
      <c r="C156" s="271">
        <f>+B156</f>
        <v>365</v>
      </c>
      <c r="D156" s="127">
        <f>+C156</f>
        <v>365</v>
      </c>
      <c r="E156" s="127">
        <f t="shared" si="67"/>
        <v>365</v>
      </c>
      <c r="F156" s="127">
        <f t="shared" si="67"/>
        <v>365</v>
      </c>
      <c r="G156" s="127">
        <f t="shared" si="67"/>
        <v>365</v>
      </c>
      <c r="H156" s="127">
        <f t="shared" si="67"/>
        <v>365</v>
      </c>
      <c r="I156" s="127">
        <f t="shared" si="67"/>
        <v>365</v>
      </c>
      <c r="J156" s="127">
        <f t="shared" si="67"/>
        <v>365</v>
      </c>
      <c r="K156" s="91"/>
    </row>
    <row r="157" spans="1:17" ht="10.8" customHeight="1" x14ac:dyDescent="0.2">
      <c r="A157" s="238" t="s">
        <v>443</v>
      </c>
      <c r="B157" s="289">
        <f>+B155*B156*24</f>
        <v>3683590.0004159999</v>
      </c>
      <c r="C157" s="289">
        <f t="shared" ref="C157:J157" si="68">+C155*C156*24</f>
        <v>3683590.0004159999</v>
      </c>
      <c r="D157" s="248">
        <f t="shared" si="68"/>
        <v>3683590.0004159999</v>
      </c>
      <c r="E157" s="289">
        <f t="shared" si="68"/>
        <v>3683590.0004159999</v>
      </c>
      <c r="F157" s="289">
        <f t="shared" si="68"/>
        <v>3683590.0004159999</v>
      </c>
      <c r="G157" s="289">
        <f t="shared" si="68"/>
        <v>3683590.0004159999</v>
      </c>
      <c r="H157" s="289">
        <f t="shared" si="68"/>
        <v>3683590.0004159999</v>
      </c>
      <c r="I157" s="289">
        <f t="shared" si="68"/>
        <v>3683590.0004159999</v>
      </c>
      <c r="J157" s="289">
        <f t="shared" si="68"/>
        <v>3683590.0004159999</v>
      </c>
      <c r="K157" s="91"/>
    </row>
    <row r="158" spans="1:17" x14ac:dyDescent="0.25">
      <c r="A158" s="133"/>
      <c r="B158" s="290"/>
      <c r="C158" s="64"/>
      <c r="D158" s="65"/>
      <c r="E158" s="64"/>
      <c r="F158" s="64"/>
      <c r="G158" s="64"/>
      <c r="H158" s="64"/>
      <c r="I158" s="64"/>
      <c r="J158" s="64"/>
    </row>
    <row r="159" spans="1:17" x14ac:dyDescent="0.25">
      <c r="A159" s="239" t="s">
        <v>514</v>
      </c>
      <c r="B159" s="521"/>
      <c r="C159" s="549">
        <v>353624638</v>
      </c>
      <c r="D159" s="548">
        <v>11050770</v>
      </c>
      <c r="E159" s="548">
        <v>18417950</v>
      </c>
      <c r="F159" s="548">
        <v>36835900</v>
      </c>
      <c r="G159" s="548">
        <v>397827718</v>
      </c>
      <c r="H159" s="548">
        <v>77355390</v>
      </c>
      <c r="I159" s="548">
        <v>287320018</v>
      </c>
      <c r="J159" s="548">
        <v>180495909</v>
      </c>
    </row>
    <row r="160" spans="1:17" x14ac:dyDescent="0.25">
      <c r="A160" s="239" t="s">
        <v>515</v>
      </c>
      <c r="B160" s="62"/>
      <c r="C160" s="547">
        <f>+C159/12</f>
        <v>29468719.833333332</v>
      </c>
      <c r="D160" s="547">
        <f t="shared" ref="D160:J160" si="69">+D159/12</f>
        <v>920897.5</v>
      </c>
      <c r="E160" s="547">
        <f t="shared" si="69"/>
        <v>1534829.1666666667</v>
      </c>
      <c r="F160" s="547">
        <f t="shared" si="69"/>
        <v>3069658.3333333335</v>
      </c>
      <c r="G160" s="547">
        <f t="shared" si="69"/>
        <v>33152309.833333332</v>
      </c>
      <c r="H160" s="547">
        <f t="shared" si="69"/>
        <v>6446282.5</v>
      </c>
      <c r="I160" s="547">
        <f t="shared" si="69"/>
        <v>23943334.833333332</v>
      </c>
      <c r="J160" s="547">
        <f t="shared" si="69"/>
        <v>15041325.75</v>
      </c>
    </row>
    <row r="161" spans="1:20" x14ac:dyDescent="0.25">
      <c r="A161" s="133"/>
      <c r="B161" s="64"/>
      <c r="C161" s="64"/>
      <c r="D161" s="65"/>
      <c r="E161" s="64"/>
      <c r="F161" s="64"/>
      <c r="G161" s="64"/>
      <c r="H161" s="64"/>
      <c r="I161" s="64"/>
      <c r="J161" s="64"/>
    </row>
    <row r="162" spans="1:20" x14ac:dyDescent="0.25">
      <c r="B162" s="448"/>
      <c r="C162" s="448"/>
      <c r="D162" s="448"/>
      <c r="E162" s="448"/>
      <c r="F162" s="448"/>
      <c r="G162" s="448"/>
      <c r="H162" s="448"/>
      <c r="I162" s="448"/>
      <c r="J162" s="448"/>
      <c r="K162" s="66"/>
    </row>
    <row r="163" spans="1:20" x14ac:dyDescent="0.25">
      <c r="D163"/>
      <c r="K163" s="66"/>
    </row>
    <row r="164" spans="1:20" s="64" customFormat="1" x14ac:dyDescent="0.25">
      <c r="A164" s="382"/>
      <c r="B164" s="390"/>
      <c r="C164" s="390"/>
      <c r="D164" s="390"/>
      <c r="E164" s="390"/>
      <c r="F164" s="390"/>
      <c r="G164" s="390"/>
      <c r="H164" s="390"/>
      <c r="I164" s="390"/>
      <c r="J164" s="390"/>
      <c r="R164"/>
      <c r="S164"/>
      <c r="T164"/>
    </row>
    <row r="165" spans="1:20" s="64" customFormat="1" x14ac:dyDescent="0.25">
      <c r="A165" s="382"/>
      <c r="B165" s="390"/>
      <c r="C165" s="390"/>
      <c r="D165" s="390"/>
      <c r="E165" s="390"/>
      <c r="F165" s="390"/>
      <c r="G165" s="390"/>
      <c r="H165" s="390"/>
      <c r="I165" s="390"/>
      <c r="J165" s="390"/>
      <c r="R165"/>
      <c r="S165"/>
      <c r="T165"/>
    </row>
    <row r="167" spans="1:20" x14ac:dyDescent="0.25">
      <c r="D167"/>
    </row>
    <row r="168" spans="1:20" x14ac:dyDescent="0.25">
      <c r="B168" s="273"/>
    </row>
  </sheetData>
  <mergeCells count="10">
    <mergeCell ref="L94:M94"/>
    <mergeCell ref="L95:M95"/>
    <mergeCell ref="L96:M96"/>
    <mergeCell ref="L97:M97"/>
    <mergeCell ref="L98:M98"/>
    <mergeCell ref="L93:M93"/>
    <mergeCell ref="A48:B48"/>
    <mergeCell ref="A50:J50"/>
    <mergeCell ref="A66:J66"/>
    <mergeCell ref="L92:M92"/>
  </mergeCells>
  <pageMargins left="0.7" right="0.7" top="0.75" bottom="0.75" header="0.3" footer="0.3"/>
  <pageSetup paperSize="9" orientation="portrait" r:id="rId1"/>
  <ignoredErrors>
    <ignoredError sqref="C109:F109 I4:I5 D9 H109:J109 G106 G109:G114 I7:I10 I12:I16 I18:I22 G126 G118:G122 G127:G129" formula="1"/>
    <ignoredError sqref="B22 B74 N9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E919-460E-F446-9E70-8A480A3CE3DF}">
  <dimension ref="A1:AA75"/>
  <sheetViews>
    <sheetView zoomScaleNormal="100" workbookViewId="0">
      <selection activeCell="A18" sqref="A18"/>
    </sheetView>
  </sheetViews>
  <sheetFormatPr baseColWidth="10" defaultRowHeight="13.2" x14ac:dyDescent="0.25"/>
  <cols>
    <col min="1" max="1" width="48.77734375" style="18" customWidth="1"/>
    <col min="2" max="10" width="15.77734375" customWidth="1"/>
    <col min="11" max="11" width="13.33203125" bestFit="1" customWidth="1"/>
    <col min="12" max="14" width="13.5546875" style="20" customWidth="1"/>
    <col min="15" max="15" width="15" style="20" customWidth="1"/>
    <col min="16" max="18" width="13.5546875" customWidth="1"/>
    <col min="19" max="20" width="14.77734375" bestFit="1" customWidth="1"/>
    <col min="23" max="23" width="15.5546875" customWidth="1"/>
    <col min="25" max="25" width="17.109375" customWidth="1"/>
  </cols>
  <sheetData>
    <row r="1" spans="1:25" ht="25.8" customHeight="1" x14ac:dyDescent="0.25">
      <c r="A1" s="226" t="s">
        <v>294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/>
    </row>
    <row r="2" spans="1:25" ht="25.8" customHeight="1" thickBot="1" x14ac:dyDescent="0.3">
      <c r="A2" s="136"/>
      <c r="B2" s="523"/>
      <c r="C2" s="523"/>
      <c r="D2" s="523"/>
      <c r="E2" s="136"/>
      <c r="F2" s="136"/>
      <c r="G2" s="136"/>
      <c r="H2" s="136"/>
      <c r="I2" s="136"/>
      <c r="J2" s="136"/>
      <c r="K2" s="136"/>
      <c r="L2"/>
      <c r="M2"/>
      <c r="N2"/>
    </row>
    <row r="3" spans="1:25" ht="16.8" customHeight="1" x14ac:dyDescent="0.25">
      <c r="A3" s="86" t="s">
        <v>490</v>
      </c>
      <c r="B3" s="199" t="s">
        <v>330</v>
      </c>
      <c r="C3" s="199" t="s">
        <v>331</v>
      </c>
      <c r="D3" s="199" t="s">
        <v>332</v>
      </c>
      <c r="E3" s="199" t="s">
        <v>463</v>
      </c>
      <c r="F3" s="199" t="s">
        <v>464</v>
      </c>
      <c r="G3" s="199" t="s">
        <v>465</v>
      </c>
      <c r="H3" s="199" t="s">
        <v>334</v>
      </c>
      <c r="I3" s="199" t="s">
        <v>335</v>
      </c>
      <c r="J3" s="199" t="s">
        <v>336</v>
      </c>
      <c r="K3" s="134"/>
      <c r="L3" s="512" t="s">
        <v>513</v>
      </c>
      <c r="M3" s="512" t="s">
        <v>508</v>
      </c>
      <c r="N3" s="512" t="s">
        <v>509</v>
      </c>
      <c r="O3" s="512" t="s">
        <v>510</v>
      </c>
      <c r="P3" s="512" t="s">
        <v>511</v>
      </c>
      <c r="Q3" s="512" t="s">
        <v>512</v>
      </c>
      <c r="R3" s="512" t="s">
        <v>521</v>
      </c>
      <c r="S3" s="514" t="s">
        <v>507</v>
      </c>
      <c r="T3" s="515"/>
    </row>
    <row r="4" spans="1:25" ht="16.8" customHeight="1" x14ac:dyDescent="0.25">
      <c r="A4" s="87" t="s">
        <v>251</v>
      </c>
      <c r="B4" s="327">
        <f>+'8- COSTO COMBUST'!B4</f>
        <v>1548.8520000000001</v>
      </c>
      <c r="C4" s="576">
        <f>+'8- COSTO COMBUST'!D4</f>
        <v>1548.8520000000001</v>
      </c>
      <c r="D4" s="576">
        <f>+C4</f>
        <v>1548.8520000000001</v>
      </c>
      <c r="E4" s="576">
        <f t="shared" ref="E4:I4" si="0">+D4</f>
        <v>1548.8520000000001</v>
      </c>
      <c r="F4" s="576">
        <f t="shared" si="0"/>
        <v>1548.8520000000001</v>
      </c>
      <c r="G4" s="576">
        <f t="shared" si="0"/>
        <v>1548.8520000000001</v>
      </c>
      <c r="H4" s="576">
        <f t="shared" si="0"/>
        <v>1548.8520000000001</v>
      </c>
      <c r="I4" s="576">
        <f t="shared" si="0"/>
        <v>1548.8520000000001</v>
      </c>
      <c r="J4" s="576">
        <f>+I4</f>
        <v>1548.8520000000001</v>
      </c>
      <c r="K4" s="604"/>
      <c r="L4" s="513">
        <v>1123</v>
      </c>
      <c r="M4" s="513">
        <v>1143</v>
      </c>
      <c r="N4" s="513">
        <v>1170</v>
      </c>
      <c r="O4" s="513">
        <v>1188</v>
      </c>
      <c r="P4" s="513">
        <v>1209</v>
      </c>
      <c r="Q4" s="513">
        <v>1173</v>
      </c>
      <c r="R4" s="513">
        <v>1251</v>
      </c>
      <c r="S4" s="516">
        <v>35</v>
      </c>
      <c r="T4" s="517">
        <f>+R4*S4</f>
        <v>43785</v>
      </c>
      <c r="U4" s="4"/>
      <c r="V4" s="4"/>
      <c r="W4" s="4"/>
    </row>
    <row r="5" spans="1:25" ht="16.8" customHeight="1" x14ac:dyDescent="0.25">
      <c r="A5" s="88" t="s">
        <v>252</v>
      </c>
      <c r="B5" s="153">
        <f>+'8- COSTO COMBUST'!B18</f>
        <v>1216.6781537190084</v>
      </c>
      <c r="C5" s="153">
        <f>+'8- COSTO COMBUST'!D18</f>
        <v>1216.6781537190082</v>
      </c>
      <c r="D5" s="153">
        <f>+C5</f>
        <v>1216.6781537190082</v>
      </c>
      <c r="E5" s="153">
        <f t="shared" ref="E5:J5" si="1">+D5</f>
        <v>1216.6781537190082</v>
      </c>
      <c r="F5" s="153">
        <f t="shared" si="1"/>
        <v>1216.6781537190082</v>
      </c>
      <c r="G5" s="153">
        <f t="shared" si="1"/>
        <v>1216.6781537190082</v>
      </c>
      <c r="H5" s="153">
        <f t="shared" si="1"/>
        <v>1216.6781537190082</v>
      </c>
      <c r="I5" s="153">
        <f t="shared" si="1"/>
        <v>1216.6781537190082</v>
      </c>
      <c r="J5" s="153">
        <f t="shared" si="1"/>
        <v>1216.6781537190082</v>
      </c>
      <c r="K5" s="604"/>
      <c r="L5" s="20">
        <v>1368</v>
      </c>
      <c r="M5" s="513">
        <v>1392</v>
      </c>
      <c r="N5" s="513">
        <v>1420</v>
      </c>
      <c r="O5" s="513">
        <v>1448</v>
      </c>
      <c r="P5" s="513">
        <v>1472</v>
      </c>
      <c r="Q5" s="513">
        <v>1354</v>
      </c>
      <c r="R5" s="513">
        <v>1444</v>
      </c>
      <c r="S5" s="516">
        <v>65</v>
      </c>
      <c r="T5" s="517">
        <f>+R5*S5</f>
        <v>93860</v>
      </c>
    </row>
    <row r="6" spans="1:25" ht="16.8" customHeight="1" thickBot="1" x14ac:dyDescent="0.3">
      <c r="A6" s="88" t="s">
        <v>253</v>
      </c>
      <c r="B6" s="328">
        <v>4906.1099999999997</v>
      </c>
      <c r="C6" s="550">
        <v>4906.1099999999997</v>
      </c>
      <c r="D6" s="550">
        <f t="shared" ref="D6:J6" si="2">+C6</f>
        <v>4906.1099999999997</v>
      </c>
      <c r="E6" s="550">
        <f t="shared" si="2"/>
        <v>4906.1099999999997</v>
      </c>
      <c r="F6" s="550">
        <f t="shared" si="2"/>
        <v>4906.1099999999997</v>
      </c>
      <c r="G6" s="550">
        <f t="shared" si="2"/>
        <v>4906.1099999999997</v>
      </c>
      <c r="H6" s="550">
        <f t="shared" si="2"/>
        <v>4906.1099999999997</v>
      </c>
      <c r="I6" s="550">
        <f t="shared" si="2"/>
        <v>4906.1099999999997</v>
      </c>
      <c r="J6" s="550">
        <f t="shared" si="2"/>
        <v>4906.1099999999997</v>
      </c>
      <c r="K6" s="587"/>
      <c r="L6"/>
      <c r="M6"/>
      <c r="N6"/>
      <c r="S6" s="519">
        <f>+S4+S5</f>
        <v>100</v>
      </c>
      <c r="T6" s="518">
        <f>(+T4+T5)/100</f>
        <v>1376.45</v>
      </c>
    </row>
    <row r="7" spans="1:25" ht="16.8" customHeight="1" x14ac:dyDescent="0.25">
      <c r="A7" s="88" t="s">
        <v>254</v>
      </c>
      <c r="B7" s="328">
        <v>5175.96</v>
      </c>
      <c r="C7" s="550">
        <v>5175.96</v>
      </c>
      <c r="D7" s="550">
        <f t="shared" ref="D7:D16" si="3">+C7</f>
        <v>5175.96</v>
      </c>
      <c r="E7" s="550">
        <f t="shared" ref="E7:J7" si="4">+D7</f>
        <v>5175.96</v>
      </c>
      <c r="F7" s="550">
        <f t="shared" si="4"/>
        <v>5175.96</v>
      </c>
      <c r="G7" s="550">
        <f t="shared" si="4"/>
        <v>5175.96</v>
      </c>
      <c r="H7" s="550">
        <f t="shared" si="4"/>
        <v>5175.96</v>
      </c>
      <c r="I7" s="550">
        <f t="shared" si="4"/>
        <v>5175.96</v>
      </c>
      <c r="J7" s="550">
        <f t="shared" si="4"/>
        <v>5175.96</v>
      </c>
      <c r="K7" s="587"/>
      <c r="L7"/>
      <c r="M7"/>
      <c r="N7"/>
      <c r="S7" s="514" t="s">
        <v>507</v>
      </c>
      <c r="T7" s="515"/>
    </row>
    <row r="8" spans="1:25" ht="16.8" customHeight="1" x14ac:dyDescent="0.25">
      <c r="A8" s="88" t="s">
        <v>255</v>
      </c>
      <c r="B8" s="328">
        <v>934456.46</v>
      </c>
      <c r="C8" s="550">
        <v>934456.46</v>
      </c>
      <c r="D8" s="550">
        <f t="shared" si="3"/>
        <v>934456.46</v>
      </c>
      <c r="E8" s="550">
        <f t="shared" ref="E8:J8" si="5">+D8</f>
        <v>934456.46</v>
      </c>
      <c r="F8" s="550">
        <f t="shared" si="5"/>
        <v>934456.46</v>
      </c>
      <c r="G8" s="550">
        <f t="shared" si="5"/>
        <v>934456.46</v>
      </c>
      <c r="H8" s="550">
        <f t="shared" si="5"/>
        <v>934456.46</v>
      </c>
      <c r="I8" s="550">
        <f t="shared" si="5"/>
        <v>934456.46</v>
      </c>
      <c r="J8" s="550">
        <f t="shared" si="5"/>
        <v>934456.46</v>
      </c>
      <c r="K8" s="22"/>
      <c r="M8"/>
      <c r="N8"/>
      <c r="Q8" s="20"/>
      <c r="S8" s="516">
        <v>30</v>
      </c>
      <c r="T8" s="517">
        <f>+R4*S8</f>
        <v>37530</v>
      </c>
    </row>
    <row r="9" spans="1:25" ht="16.8" customHeight="1" x14ac:dyDescent="0.25">
      <c r="A9" s="88" t="s">
        <v>256</v>
      </c>
      <c r="B9" s="328">
        <v>301111.59000000003</v>
      </c>
      <c r="C9" s="550">
        <v>301111.59000000003</v>
      </c>
      <c r="D9" s="550">
        <f t="shared" si="3"/>
        <v>301111.59000000003</v>
      </c>
      <c r="E9" s="550">
        <f t="shared" ref="E9:J9" si="6">+D9</f>
        <v>301111.59000000003</v>
      </c>
      <c r="F9" s="550">
        <f t="shared" si="6"/>
        <v>301111.59000000003</v>
      </c>
      <c r="G9" s="550">
        <f t="shared" si="6"/>
        <v>301111.59000000003</v>
      </c>
      <c r="H9" s="550">
        <f t="shared" si="6"/>
        <v>301111.59000000003</v>
      </c>
      <c r="I9" s="550">
        <f t="shared" si="6"/>
        <v>301111.59000000003</v>
      </c>
      <c r="J9" s="550">
        <f t="shared" si="6"/>
        <v>301111.59000000003</v>
      </c>
      <c r="K9" s="587"/>
      <c r="L9" s="20">
        <f>+L8/100</f>
        <v>0</v>
      </c>
      <c r="M9"/>
      <c r="N9"/>
      <c r="Q9" s="20"/>
      <c r="S9" s="516">
        <v>70</v>
      </c>
      <c r="T9" s="517">
        <f>+R5*S9</f>
        <v>101080</v>
      </c>
    </row>
    <row r="10" spans="1:25" ht="16.8" customHeight="1" thickBot="1" x14ac:dyDescent="0.3">
      <c r="A10" s="88" t="s">
        <v>257</v>
      </c>
      <c r="B10" s="328">
        <v>32729.66</v>
      </c>
      <c r="C10" s="550">
        <v>32729.66</v>
      </c>
      <c r="D10" s="550">
        <f t="shared" si="3"/>
        <v>32729.66</v>
      </c>
      <c r="E10" s="550">
        <f t="shared" ref="E10:J10" si="7">+D10</f>
        <v>32729.66</v>
      </c>
      <c r="F10" s="550">
        <f t="shared" si="7"/>
        <v>32729.66</v>
      </c>
      <c r="G10" s="550">
        <f t="shared" si="7"/>
        <v>32729.66</v>
      </c>
      <c r="H10" s="550">
        <f t="shared" si="7"/>
        <v>32729.66</v>
      </c>
      <c r="I10" s="550">
        <f t="shared" si="7"/>
        <v>32729.66</v>
      </c>
      <c r="J10" s="550">
        <f t="shared" si="7"/>
        <v>32729.66</v>
      </c>
      <c r="K10" s="587"/>
      <c r="L10"/>
      <c r="M10"/>
      <c r="N10"/>
      <c r="S10" s="519">
        <f>+S8+S9</f>
        <v>100</v>
      </c>
      <c r="T10" s="518">
        <f>(+T8+T9)/100</f>
        <v>1386.1</v>
      </c>
    </row>
    <row r="11" spans="1:25" ht="16.8" customHeight="1" x14ac:dyDescent="0.25">
      <c r="A11" s="88" t="s">
        <v>258</v>
      </c>
      <c r="B11" s="328">
        <v>31713.11</v>
      </c>
      <c r="C11" s="550">
        <v>31713.11</v>
      </c>
      <c r="D11" s="550">
        <f t="shared" si="3"/>
        <v>31713.11</v>
      </c>
      <c r="E11" s="550">
        <f t="shared" ref="E11:J11" si="8">+D11</f>
        <v>31713.11</v>
      </c>
      <c r="F11" s="550">
        <f t="shared" si="8"/>
        <v>31713.11</v>
      </c>
      <c r="G11" s="550">
        <f t="shared" si="8"/>
        <v>31713.11</v>
      </c>
      <c r="H11" s="550">
        <f t="shared" si="8"/>
        <v>31713.11</v>
      </c>
      <c r="I11" s="550">
        <f t="shared" si="8"/>
        <v>31713.11</v>
      </c>
      <c r="J11" s="550">
        <f t="shared" si="8"/>
        <v>31713.11</v>
      </c>
      <c r="K11" s="587"/>
      <c r="L11"/>
      <c r="M11"/>
      <c r="N11"/>
    </row>
    <row r="12" spans="1:25" ht="16.8" customHeight="1" x14ac:dyDescent="0.25">
      <c r="A12" s="88" t="s">
        <v>259</v>
      </c>
      <c r="B12" s="328">
        <v>31713.11</v>
      </c>
      <c r="C12" s="550">
        <v>31713.11</v>
      </c>
      <c r="D12" s="550">
        <f t="shared" si="3"/>
        <v>31713.11</v>
      </c>
      <c r="E12" s="550">
        <f t="shared" ref="E12:J12" si="9">+D12</f>
        <v>31713.11</v>
      </c>
      <c r="F12" s="550">
        <f t="shared" si="9"/>
        <v>31713.11</v>
      </c>
      <c r="G12" s="550">
        <f t="shared" si="9"/>
        <v>31713.11</v>
      </c>
      <c r="H12" s="550">
        <f t="shared" si="9"/>
        <v>31713.11</v>
      </c>
      <c r="I12" s="550">
        <f t="shared" si="9"/>
        <v>31713.11</v>
      </c>
      <c r="J12" s="550">
        <f t="shared" si="9"/>
        <v>31713.11</v>
      </c>
      <c r="K12" s="587"/>
      <c r="L12"/>
      <c r="M12"/>
      <c r="N12"/>
    </row>
    <row r="13" spans="1:25" ht="16.8" customHeight="1" x14ac:dyDescent="0.25">
      <c r="A13" s="88" t="s">
        <v>260</v>
      </c>
      <c r="B13" s="328">
        <v>35067.49</v>
      </c>
      <c r="C13" s="550">
        <v>35067.49</v>
      </c>
      <c r="D13" s="550">
        <f t="shared" si="3"/>
        <v>35067.49</v>
      </c>
      <c r="E13" s="550">
        <f t="shared" ref="E13:J13" si="10">+D13</f>
        <v>35067.49</v>
      </c>
      <c r="F13" s="550">
        <f t="shared" si="10"/>
        <v>35067.49</v>
      </c>
      <c r="G13" s="550">
        <f t="shared" si="10"/>
        <v>35067.49</v>
      </c>
      <c r="H13" s="550">
        <f t="shared" si="10"/>
        <v>35067.49</v>
      </c>
      <c r="I13" s="550">
        <f t="shared" si="10"/>
        <v>35067.49</v>
      </c>
      <c r="J13" s="550">
        <f t="shared" si="10"/>
        <v>35067.49</v>
      </c>
      <c r="K13" s="587"/>
      <c r="L13"/>
      <c r="M13"/>
      <c r="N13"/>
    </row>
    <row r="14" spans="1:25" ht="16.8" customHeight="1" x14ac:dyDescent="0.25">
      <c r="A14" s="88" t="s">
        <v>261</v>
      </c>
      <c r="B14" s="328">
        <v>50843.46</v>
      </c>
      <c r="C14" s="550">
        <v>50843.46</v>
      </c>
      <c r="D14" s="550">
        <f t="shared" si="3"/>
        <v>50843.46</v>
      </c>
      <c r="E14" s="550">
        <f t="shared" ref="E14:J14" si="11">+D14</f>
        <v>50843.46</v>
      </c>
      <c r="F14" s="550">
        <f t="shared" si="11"/>
        <v>50843.46</v>
      </c>
      <c r="G14" s="550">
        <f t="shared" si="11"/>
        <v>50843.46</v>
      </c>
      <c r="H14" s="550">
        <f t="shared" si="11"/>
        <v>50843.46</v>
      </c>
      <c r="I14" s="550">
        <f t="shared" si="11"/>
        <v>50843.46</v>
      </c>
      <c r="J14" s="550">
        <f t="shared" si="11"/>
        <v>50843.46</v>
      </c>
      <c r="K14" s="587"/>
      <c r="L14"/>
      <c r="M14"/>
      <c r="N14"/>
    </row>
    <row r="15" spans="1:25" ht="16.8" customHeight="1" x14ac:dyDescent="0.25">
      <c r="A15" s="88" t="s">
        <v>262</v>
      </c>
      <c r="B15" s="328">
        <v>33805.49</v>
      </c>
      <c r="C15" s="550">
        <v>33805.49</v>
      </c>
      <c r="D15" s="550">
        <f t="shared" si="3"/>
        <v>33805.49</v>
      </c>
      <c r="E15" s="550">
        <f t="shared" ref="E15:J15" si="12">+D15</f>
        <v>33805.49</v>
      </c>
      <c r="F15" s="550">
        <f t="shared" si="12"/>
        <v>33805.49</v>
      </c>
      <c r="G15" s="550">
        <f t="shared" si="12"/>
        <v>33805.49</v>
      </c>
      <c r="H15" s="550">
        <f t="shared" si="12"/>
        <v>33805.49</v>
      </c>
      <c r="I15" s="550">
        <f t="shared" si="12"/>
        <v>33805.49</v>
      </c>
      <c r="J15" s="550">
        <f t="shared" si="12"/>
        <v>33805.49</v>
      </c>
      <c r="K15" s="587"/>
      <c r="L15"/>
      <c r="M15"/>
      <c r="N15"/>
    </row>
    <row r="16" spans="1:25" ht="16.8" customHeight="1" x14ac:dyDescent="0.25">
      <c r="A16" s="88" t="s">
        <v>263</v>
      </c>
      <c r="B16" s="328">
        <v>58289.96</v>
      </c>
      <c r="C16" s="550">
        <v>58289.96</v>
      </c>
      <c r="D16" s="550">
        <f t="shared" si="3"/>
        <v>58289.96</v>
      </c>
      <c r="E16" s="550">
        <f t="shared" ref="E16:J16" si="13">+D16</f>
        <v>58289.96</v>
      </c>
      <c r="F16" s="550">
        <f t="shared" si="13"/>
        <v>58289.96</v>
      </c>
      <c r="G16" s="550">
        <f t="shared" si="13"/>
        <v>58289.96</v>
      </c>
      <c r="H16" s="550">
        <f t="shared" si="13"/>
        <v>58289.96</v>
      </c>
      <c r="I16" s="550">
        <f t="shared" si="13"/>
        <v>58289.96</v>
      </c>
      <c r="J16" s="550">
        <f t="shared" si="13"/>
        <v>58289.96</v>
      </c>
      <c r="K16" s="605"/>
      <c r="L16" s="218" t="s">
        <v>202</v>
      </c>
      <c r="M16" s="218" t="s">
        <v>208</v>
      </c>
      <c r="N16" s="218" t="s">
        <v>522</v>
      </c>
      <c r="P16" s="218" t="s">
        <v>516</v>
      </c>
      <c r="V16" s="167" t="s">
        <v>516</v>
      </c>
      <c r="W16" s="464" t="s">
        <v>518</v>
      </c>
      <c r="X16" s="464" t="s">
        <v>517</v>
      </c>
      <c r="Y16" s="464" t="s">
        <v>134</v>
      </c>
    </row>
    <row r="17" spans="1:27" ht="16.8" customHeight="1" x14ac:dyDescent="0.25">
      <c r="A17" s="88" t="s">
        <v>264</v>
      </c>
      <c r="B17" s="328">
        <v>125446622.93000001</v>
      </c>
      <c r="C17" s="550">
        <v>125446622.93000001</v>
      </c>
      <c r="D17" s="550">
        <f>+C17</f>
        <v>125446622.93000001</v>
      </c>
      <c r="E17" s="550">
        <v>161880935.88</v>
      </c>
      <c r="F17" s="550">
        <f>+D17</f>
        <v>125446622.93000001</v>
      </c>
      <c r="G17" s="550">
        <f>+D17</f>
        <v>125446622.93000001</v>
      </c>
      <c r="H17" s="550">
        <f>+G17</f>
        <v>125446622.93000001</v>
      </c>
      <c r="I17" s="550">
        <v>108590839.27</v>
      </c>
      <c r="J17" s="550">
        <v>108590839.27</v>
      </c>
      <c r="K17" s="605"/>
      <c r="L17" s="401">
        <v>98250476.980000004</v>
      </c>
      <c r="M17" s="401">
        <v>126786028.93000001</v>
      </c>
      <c r="N17" s="401">
        <v>85048935.590000004</v>
      </c>
      <c r="O17"/>
      <c r="P17" s="401">
        <v>104789296.30523767</v>
      </c>
      <c r="Q17" s="62"/>
      <c r="V17" s="464" t="s">
        <v>504</v>
      </c>
      <c r="W17" s="328">
        <v>104712392.41</v>
      </c>
      <c r="X17" s="552">
        <v>1151</v>
      </c>
      <c r="Y17" s="328">
        <f>+W17*X17</f>
        <v>120523963663.90999</v>
      </c>
      <c r="Z17" s="62"/>
    </row>
    <row r="18" spans="1:27" ht="16.8" customHeight="1" x14ac:dyDescent="0.25">
      <c r="A18" s="88" t="s">
        <v>200</v>
      </c>
      <c r="B18" s="328">
        <v>54521302.5</v>
      </c>
      <c r="C18" s="550">
        <v>54521302.5</v>
      </c>
      <c r="D18" s="550">
        <f>+C18</f>
        <v>54521302.5</v>
      </c>
      <c r="E18" s="550">
        <v>88333609.180000007</v>
      </c>
      <c r="F18" s="550">
        <f>+D18</f>
        <v>54521302.5</v>
      </c>
      <c r="G18" s="550">
        <f>+D18</f>
        <v>54521302.5</v>
      </c>
      <c r="H18" s="550">
        <f t="shared" ref="H18" si="14">+G18</f>
        <v>54521302.5</v>
      </c>
      <c r="I18" s="550">
        <v>47171063.729999997</v>
      </c>
      <c r="J18" s="550">
        <f>+I18</f>
        <v>47171063.729999997</v>
      </c>
      <c r="K18" s="605"/>
      <c r="L18" s="401">
        <v>42701380.490000002</v>
      </c>
      <c r="M18" s="401">
        <v>69183362.879999995</v>
      </c>
      <c r="N18" s="401">
        <v>36944633.530000001</v>
      </c>
      <c r="O18"/>
      <c r="P18" s="401">
        <v>45667067.1959491</v>
      </c>
      <c r="Q18" s="62"/>
      <c r="V18" s="464" t="s">
        <v>519</v>
      </c>
      <c r="W18" s="328">
        <v>164426008.81</v>
      </c>
      <c r="X18" s="552">
        <v>2</v>
      </c>
      <c r="Y18" s="328">
        <f>+W18*X18</f>
        <v>328852017.62</v>
      </c>
      <c r="Z18" s="62"/>
    </row>
    <row r="19" spans="1:27" ht="16.8" customHeight="1" x14ac:dyDescent="0.25">
      <c r="A19" s="88" t="s">
        <v>265</v>
      </c>
      <c r="B19" s="295">
        <v>0.02</v>
      </c>
      <c r="C19" s="450">
        <f t="shared" ref="C19:J38" si="15">+B19</f>
        <v>0.02</v>
      </c>
      <c r="D19" s="450">
        <f t="shared" si="15"/>
        <v>0.02</v>
      </c>
      <c r="E19" s="450">
        <f t="shared" si="15"/>
        <v>0.02</v>
      </c>
      <c r="F19" s="450">
        <f t="shared" si="15"/>
        <v>0.02</v>
      </c>
      <c r="G19" s="450">
        <f t="shared" si="15"/>
        <v>0.02</v>
      </c>
      <c r="H19" s="450">
        <f t="shared" si="15"/>
        <v>0.02</v>
      </c>
      <c r="I19" s="450">
        <f t="shared" si="15"/>
        <v>0.02</v>
      </c>
      <c r="J19" s="450">
        <f t="shared" si="15"/>
        <v>0.02</v>
      </c>
      <c r="K19" s="587"/>
      <c r="L19" s="480">
        <f>+L17+L18</f>
        <v>140951857.47</v>
      </c>
      <c r="M19" s="480">
        <f>+M17+M18</f>
        <v>195969391.81</v>
      </c>
      <c r="N19" s="480"/>
      <c r="O19"/>
      <c r="Q19" s="480"/>
      <c r="V19" s="480"/>
      <c r="W19" s="480"/>
      <c r="X19" s="553">
        <f>SUM(X17:X18)</f>
        <v>1153</v>
      </c>
      <c r="Y19" s="554">
        <f>SUM(Y17:Y18)</f>
        <v>120852815681.52998</v>
      </c>
      <c r="Z19" s="554">
        <f>+Y19/X19</f>
        <v>104815971.97010407</v>
      </c>
      <c r="AA19" s="581"/>
    </row>
    <row r="20" spans="1:27" ht="16.8" customHeight="1" x14ac:dyDescent="0.25">
      <c r="A20" s="88" t="s">
        <v>266</v>
      </c>
      <c r="B20" s="294">
        <v>0.05</v>
      </c>
      <c r="C20" s="551">
        <f t="shared" ref="C20:J20" si="16">+B20</f>
        <v>0.05</v>
      </c>
      <c r="D20" s="551">
        <f t="shared" si="16"/>
        <v>0.05</v>
      </c>
      <c r="E20" s="551">
        <f t="shared" si="16"/>
        <v>0.05</v>
      </c>
      <c r="F20" s="551">
        <f t="shared" si="16"/>
        <v>0.05</v>
      </c>
      <c r="G20" s="551">
        <f t="shared" si="16"/>
        <v>0.05</v>
      </c>
      <c r="H20" s="551">
        <f t="shared" si="16"/>
        <v>0.05</v>
      </c>
      <c r="I20" s="551">
        <f t="shared" si="16"/>
        <v>0.05</v>
      </c>
      <c r="J20" s="551">
        <f t="shared" si="16"/>
        <v>0.05</v>
      </c>
      <c r="K20" s="606"/>
      <c r="W20" s="464" t="s">
        <v>520</v>
      </c>
      <c r="X20" s="464" t="s">
        <v>517</v>
      </c>
      <c r="Y20" s="464" t="s">
        <v>134</v>
      </c>
      <c r="AA20" s="614"/>
    </row>
    <row r="21" spans="1:27" ht="16.8" customHeight="1" x14ac:dyDescent="0.25">
      <c r="A21" s="88" t="s">
        <v>267</v>
      </c>
      <c r="B21" s="153">
        <f>+(B17-6*(B8))*(1-B20)</f>
        <v>113847889.96149999</v>
      </c>
      <c r="C21" s="153">
        <f>+(C17-6*(C8))*(1-C20)</f>
        <v>113847889.96149999</v>
      </c>
      <c r="D21" s="153">
        <f>+(D17-6*(D8))*(1-D20)</f>
        <v>113847889.96149999</v>
      </c>
      <c r="E21" s="153">
        <f>+(E17-6*(E8))*(1-E20)</f>
        <v>148460487.264</v>
      </c>
      <c r="F21" s="153">
        <f t="shared" ref="F21:J21" si="17">+(F17-6*(F8))*(1-F20)</f>
        <v>113847889.96149999</v>
      </c>
      <c r="G21" s="153">
        <f t="shared" si="17"/>
        <v>113847889.96149999</v>
      </c>
      <c r="H21" s="153">
        <f t="shared" si="17"/>
        <v>113847889.96149999</v>
      </c>
      <c r="I21" s="153">
        <f t="shared" si="17"/>
        <v>97834895.484499991</v>
      </c>
      <c r="J21" s="153">
        <f t="shared" si="17"/>
        <v>97834895.484499991</v>
      </c>
      <c r="K21" s="607"/>
      <c r="V21" s="464" t="s">
        <v>504</v>
      </c>
      <c r="W21" s="328">
        <v>45509842.270000003</v>
      </c>
      <c r="X21" s="552">
        <v>1151</v>
      </c>
      <c r="Y21" s="328">
        <f>+W21*X21</f>
        <v>52381828452.770004</v>
      </c>
      <c r="Z21" s="62"/>
    </row>
    <row r="22" spans="1:27" ht="16.8" customHeight="1" x14ac:dyDescent="0.25">
      <c r="A22" s="88" t="s">
        <v>268</v>
      </c>
      <c r="B22" s="153">
        <f>+B18*(1-B20)</f>
        <v>51795237.375</v>
      </c>
      <c r="C22" s="153">
        <f t="shared" ref="C22:J22" si="18">+C18*(1-C20)</f>
        <v>51795237.375</v>
      </c>
      <c r="D22" s="153">
        <f t="shared" si="18"/>
        <v>51795237.375</v>
      </c>
      <c r="E22" s="153">
        <f t="shared" si="18"/>
        <v>83916928.721000001</v>
      </c>
      <c r="F22" s="153">
        <f t="shared" si="18"/>
        <v>51795237.375</v>
      </c>
      <c r="G22" s="153">
        <f t="shared" si="18"/>
        <v>51795237.375</v>
      </c>
      <c r="H22" s="153">
        <f t="shared" si="18"/>
        <v>51795237.375</v>
      </c>
      <c r="I22" s="153">
        <f t="shared" si="18"/>
        <v>44812510.543499991</v>
      </c>
      <c r="J22" s="153">
        <f t="shared" si="18"/>
        <v>44812510.543499991</v>
      </c>
      <c r="K22" s="587"/>
      <c r="Q22" s="62"/>
      <c r="V22" s="464" t="s">
        <v>519</v>
      </c>
      <c r="W22" s="328">
        <v>167670134.43000001</v>
      </c>
      <c r="X22" s="552">
        <v>2</v>
      </c>
      <c r="Y22" s="328">
        <f>+W22*X22</f>
        <v>335340268.86000001</v>
      </c>
      <c r="Z22" s="62"/>
    </row>
    <row r="23" spans="1:27" ht="16.8" customHeight="1" x14ac:dyDescent="0.25">
      <c r="A23" s="88" t="s">
        <v>269</v>
      </c>
      <c r="B23" s="328">
        <v>228468.57</v>
      </c>
      <c r="C23" s="550">
        <v>228468.57</v>
      </c>
      <c r="D23" s="550">
        <f t="shared" ref="D23:J23" si="19">+C23</f>
        <v>228468.57</v>
      </c>
      <c r="E23" s="550">
        <f t="shared" si="19"/>
        <v>228468.57</v>
      </c>
      <c r="F23" s="550">
        <f t="shared" si="19"/>
        <v>228468.57</v>
      </c>
      <c r="G23" s="550">
        <f t="shared" si="19"/>
        <v>228468.57</v>
      </c>
      <c r="H23" s="550">
        <f t="shared" si="19"/>
        <v>228468.57</v>
      </c>
      <c r="I23" s="550">
        <f t="shared" si="19"/>
        <v>228468.57</v>
      </c>
      <c r="J23" s="550">
        <f t="shared" si="19"/>
        <v>228468.57</v>
      </c>
      <c r="K23" s="587"/>
      <c r="Q23" s="62"/>
      <c r="X23" s="553">
        <f>SUM(X21:X22)</f>
        <v>1153</v>
      </c>
      <c r="Y23" s="554">
        <f>SUM(Y21:Y22)</f>
        <v>52717168721.630005</v>
      </c>
      <c r="Z23" s="554">
        <f>+Y23/X23</f>
        <v>45721742.169670433</v>
      </c>
    </row>
    <row r="24" spans="1:27" ht="16.8" customHeight="1" x14ac:dyDescent="0.25">
      <c r="A24" s="88" t="s">
        <v>199</v>
      </c>
      <c r="B24" s="47">
        <f>+(B40)/(((B40+1)^'2- EMP. REP'!B11)-1)</f>
        <v>7.5867958220383724E-2</v>
      </c>
      <c r="C24" s="47">
        <f>+(C40)/(((C40+1)^'2- EMP. REP'!C11)-1)</f>
        <v>5.2960105340019055E-2</v>
      </c>
      <c r="D24" s="47">
        <f>+(D40)/(((D40+1)^'2- EMP. REP'!D11)-1)</f>
        <v>5.2960105340019055E-2</v>
      </c>
      <c r="E24" s="47">
        <f>+(E40)/(((E40+1)^'2- EMP. REP'!E11)-1)</f>
        <v>5.2960105340019055E-2</v>
      </c>
      <c r="F24" s="47">
        <f>+(F40)/(((F40+1)^'2- EMP. REP'!F11)-1)</f>
        <v>5.2960105340019055E-2</v>
      </c>
      <c r="G24" s="47">
        <f>+(G40)/(((G40+1)^'2- EMP. REP'!G11)-1)</f>
        <v>5.2960105340019055E-2</v>
      </c>
      <c r="H24" s="47">
        <f>+(H40)/(((H40+1)^'2- EMP. REP'!H11)-1)</f>
        <v>5.2960105340019055E-2</v>
      </c>
      <c r="I24" s="47">
        <f>+(I40)/(((I40+1)^'2- EMP. REP'!I11)-1)</f>
        <v>5.2960105340019055E-2</v>
      </c>
      <c r="J24" s="47">
        <f>+(J40)/(((J40+1)^'2- EMP. REP'!J11)-1)</f>
        <v>5.2960105340019055E-2</v>
      </c>
      <c r="K24" s="587"/>
      <c r="Q24" s="62"/>
      <c r="Y24" s="62"/>
      <c r="Z24" s="62"/>
    </row>
    <row r="25" spans="1:27" ht="16.8" customHeight="1" x14ac:dyDescent="0.25">
      <c r="A25" s="88" t="s">
        <v>270</v>
      </c>
      <c r="B25" s="153">
        <f t="shared" ref="B25:J25" si="20">+(B17/2)+(B17*$B$20/2)</f>
        <v>65859477.038250007</v>
      </c>
      <c r="C25" s="153">
        <f t="shared" si="20"/>
        <v>65859477.038250007</v>
      </c>
      <c r="D25" s="153">
        <f t="shared" si="20"/>
        <v>65859477.038250007</v>
      </c>
      <c r="E25" s="153">
        <f t="shared" si="20"/>
        <v>84987491.336999997</v>
      </c>
      <c r="F25" s="153">
        <f t="shared" si="20"/>
        <v>65859477.038250007</v>
      </c>
      <c r="G25" s="153">
        <f t="shared" si="20"/>
        <v>65859477.038250007</v>
      </c>
      <c r="H25" s="153">
        <f t="shared" si="20"/>
        <v>65859477.038250007</v>
      </c>
      <c r="I25" s="153">
        <f t="shared" si="20"/>
        <v>57010190.616750002</v>
      </c>
      <c r="J25" s="153">
        <f t="shared" si="20"/>
        <v>57010190.616750002</v>
      </c>
      <c r="K25" s="531"/>
      <c r="L25"/>
      <c r="M25"/>
      <c r="N25"/>
      <c r="O25" s="62"/>
    </row>
    <row r="26" spans="1:27" ht="16.8" customHeight="1" x14ac:dyDescent="0.25">
      <c r="A26" s="88" t="s">
        <v>271</v>
      </c>
      <c r="B26" s="153">
        <f t="shared" ref="B26:J26" si="21">+(B18/2)+(B18*$B$20/2)</f>
        <v>28623683.8125</v>
      </c>
      <c r="C26" s="153">
        <f t="shared" si="21"/>
        <v>28623683.8125</v>
      </c>
      <c r="D26" s="153">
        <f t="shared" si="21"/>
        <v>28623683.8125</v>
      </c>
      <c r="E26" s="153">
        <f t="shared" si="21"/>
        <v>46375144.819500007</v>
      </c>
      <c r="F26" s="153">
        <f t="shared" si="21"/>
        <v>28623683.8125</v>
      </c>
      <c r="G26" s="153">
        <f t="shared" si="21"/>
        <v>28623683.8125</v>
      </c>
      <c r="H26" s="153">
        <f t="shared" si="21"/>
        <v>28623683.8125</v>
      </c>
      <c r="I26" s="153">
        <f t="shared" si="21"/>
        <v>24764808.458249997</v>
      </c>
      <c r="J26" s="153">
        <f t="shared" si="21"/>
        <v>24764808.458249997</v>
      </c>
      <c r="K26" s="531"/>
      <c r="L26"/>
      <c r="M26"/>
      <c r="N26"/>
      <c r="O26" s="62"/>
    </row>
    <row r="27" spans="1:27" ht="16.8" customHeight="1" x14ac:dyDescent="0.25">
      <c r="A27" s="88" t="s">
        <v>272</v>
      </c>
      <c r="B27" s="153">
        <f t="shared" ref="B27:J27" si="22">+B28*12</f>
        <v>4279151.5200000005</v>
      </c>
      <c r="C27" s="153">
        <f t="shared" si="22"/>
        <v>4279151.5200000005</v>
      </c>
      <c r="D27" s="153">
        <f t="shared" si="22"/>
        <v>4279151.5200000005</v>
      </c>
      <c r="E27" s="153">
        <f t="shared" si="22"/>
        <v>4279151.5200000005</v>
      </c>
      <c r="F27" s="153">
        <f t="shared" si="22"/>
        <v>4279151.5200000005</v>
      </c>
      <c r="G27" s="153">
        <f t="shared" si="22"/>
        <v>4279151.5200000005</v>
      </c>
      <c r="H27" s="153">
        <f t="shared" si="22"/>
        <v>4279151.5200000005</v>
      </c>
      <c r="I27" s="153">
        <f t="shared" si="22"/>
        <v>4279151.5200000005</v>
      </c>
      <c r="J27" s="153">
        <f t="shared" si="22"/>
        <v>4279151.5200000005</v>
      </c>
      <c r="K27" s="587"/>
      <c r="L27"/>
      <c r="M27"/>
      <c r="N27"/>
      <c r="O27" s="63"/>
    </row>
    <row r="28" spans="1:27" ht="16.8" customHeight="1" x14ac:dyDescent="0.25">
      <c r="A28" s="88" t="s">
        <v>273</v>
      </c>
      <c r="B28" s="328">
        <v>356595.96</v>
      </c>
      <c r="C28" s="550">
        <v>356595.96</v>
      </c>
      <c r="D28" s="550">
        <f>+C28</f>
        <v>356595.96</v>
      </c>
      <c r="E28" s="550">
        <f t="shared" ref="E28:J28" si="23">+D28</f>
        <v>356595.96</v>
      </c>
      <c r="F28" s="550">
        <f t="shared" si="23"/>
        <v>356595.96</v>
      </c>
      <c r="G28" s="550">
        <f t="shared" si="23"/>
        <v>356595.96</v>
      </c>
      <c r="H28" s="550">
        <f t="shared" si="23"/>
        <v>356595.96</v>
      </c>
      <c r="I28" s="550">
        <f t="shared" si="23"/>
        <v>356595.96</v>
      </c>
      <c r="J28" s="550">
        <f t="shared" si="23"/>
        <v>356595.96</v>
      </c>
      <c r="K28" s="587"/>
      <c r="L28"/>
      <c r="M28"/>
      <c r="N28"/>
    </row>
    <row r="29" spans="1:27" ht="16.8" customHeight="1" x14ac:dyDescent="0.25">
      <c r="A29" s="88" t="s">
        <v>274</v>
      </c>
      <c r="B29" s="153">
        <f>+B27</f>
        <v>4279151.5200000005</v>
      </c>
      <c r="C29" s="153">
        <f t="shared" ref="C29:J29" si="24">+C27</f>
        <v>4279151.5200000005</v>
      </c>
      <c r="D29" s="153">
        <f t="shared" si="24"/>
        <v>4279151.5200000005</v>
      </c>
      <c r="E29" s="153">
        <f t="shared" si="24"/>
        <v>4279151.5200000005</v>
      </c>
      <c r="F29" s="153">
        <f t="shared" si="24"/>
        <v>4279151.5200000005</v>
      </c>
      <c r="G29" s="153">
        <f t="shared" si="24"/>
        <v>4279151.5200000005</v>
      </c>
      <c r="H29" s="153">
        <f t="shared" si="24"/>
        <v>4279151.5200000005</v>
      </c>
      <c r="I29" s="153">
        <f t="shared" si="24"/>
        <v>4279151.5200000005</v>
      </c>
      <c r="J29" s="153">
        <f t="shared" si="24"/>
        <v>4279151.5200000005</v>
      </c>
      <c r="K29" s="587"/>
      <c r="L29"/>
      <c r="M29"/>
      <c r="N29"/>
    </row>
    <row r="30" spans="1:27" ht="16.8" customHeight="1" x14ac:dyDescent="0.25">
      <c r="A30" s="88" t="s">
        <v>275</v>
      </c>
      <c r="B30" s="296">
        <v>2.5000000000000001E-2</v>
      </c>
      <c r="C30" s="296">
        <f t="shared" si="15"/>
        <v>2.5000000000000001E-2</v>
      </c>
      <c r="D30" s="296">
        <f t="shared" si="15"/>
        <v>2.5000000000000001E-2</v>
      </c>
      <c r="E30" s="296">
        <f t="shared" si="15"/>
        <v>2.5000000000000001E-2</v>
      </c>
      <c r="F30" s="296">
        <f t="shared" si="15"/>
        <v>2.5000000000000001E-2</v>
      </c>
      <c r="G30" s="296">
        <f t="shared" si="15"/>
        <v>2.5000000000000001E-2</v>
      </c>
      <c r="H30" s="296">
        <f t="shared" si="15"/>
        <v>2.5000000000000001E-2</v>
      </c>
      <c r="I30" s="296">
        <f t="shared" si="15"/>
        <v>2.5000000000000001E-2</v>
      </c>
      <c r="J30" s="296">
        <f t="shared" si="15"/>
        <v>2.5000000000000001E-2</v>
      </c>
      <c r="K30" s="587"/>
      <c r="L30"/>
      <c r="M30"/>
      <c r="N30"/>
    </row>
    <row r="31" spans="1:27" ht="16.8" customHeight="1" x14ac:dyDescent="0.25">
      <c r="A31" s="88" t="s">
        <v>198</v>
      </c>
      <c r="B31" s="296">
        <v>2.5000000000000001E-2</v>
      </c>
      <c r="C31" s="296">
        <f t="shared" si="15"/>
        <v>2.5000000000000001E-2</v>
      </c>
      <c r="D31" s="296">
        <f t="shared" si="15"/>
        <v>2.5000000000000001E-2</v>
      </c>
      <c r="E31" s="296">
        <f t="shared" si="15"/>
        <v>2.5000000000000001E-2</v>
      </c>
      <c r="F31" s="296">
        <f t="shared" si="15"/>
        <v>2.5000000000000001E-2</v>
      </c>
      <c r="G31" s="296">
        <f t="shared" si="15"/>
        <v>2.5000000000000001E-2</v>
      </c>
      <c r="H31" s="296">
        <f t="shared" si="15"/>
        <v>2.5000000000000001E-2</v>
      </c>
      <c r="I31" s="296">
        <f t="shared" si="15"/>
        <v>2.5000000000000001E-2</v>
      </c>
      <c r="J31" s="296">
        <f t="shared" si="15"/>
        <v>2.5000000000000001E-2</v>
      </c>
      <c r="K31" s="44"/>
      <c r="L31"/>
      <c r="M31"/>
      <c r="N31"/>
    </row>
    <row r="32" spans="1:27" ht="16.8" customHeight="1" x14ac:dyDescent="0.25">
      <c r="A32" s="88" t="s">
        <v>276</v>
      </c>
      <c r="B32" s="295">
        <v>0.6</v>
      </c>
      <c r="C32" s="295">
        <f t="shared" si="15"/>
        <v>0.6</v>
      </c>
      <c r="D32" s="295">
        <f t="shared" ref="D32:J32" si="25">+C32</f>
        <v>0.6</v>
      </c>
      <c r="E32" s="295">
        <f t="shared" si="25"/>
        <v>0.6</v>
      </c>
      <c r="F32" s="295">
        <f t="shared" si="25"/>
        <v>0.6</v>
      </c>
      <c r="G32" s="295">
        <f t="shared" si="25"/>
        <v>0.6</v>
      </c>
      <c r="H32" s="295">
        <f t="shared" si="25"/>
        <v>0.6</v>
      </c>
      <c r="I32" s="295">
        <f t="shared" si="25"/>
        <v>0.6</v>
      </c>
      <c r="J32" s="295">
        <f t="shared" si="25"/>
        <v>0.6</v>
      </c>
      <c r="K32" s="44"/>
      <c r="L32"/>
      <c r="M32"/>
      <c r="N32"/>
    </row>
    <row r="33" spans="1:15" ht="16.8" customHeight="1" x14ac:dyDescent="0.25">
      <c r="A33" s="88" t="s">
        <v>277</v>
      </c>
      <c r="B33" s="295">
        <v>0.6</v>
      </c>
      <c r="C33" s="295">
        <f t="shared" si="15"/>
        <v>0.6</v>
      </c>
      <c r="D33" s="295">
        <f t="shared" ref="D33:J33" si="26">+C33</f>
        <v>0.6</v>
      </c>
      <c r="E33" s="295">
        <f t="shared" si="26"/>
        <v>0.6</v>
      </c>
      <c r="F33" s="295">
        <f t="shared" si="26"/>
        <v>0.6</v>
      </c>
      <c r="G33" s="295">
        <f t="shared" si="26"/>
        <v>0.6</v>
      </c>
      <c r="H33" s="295">
        <f t="shared" si="26"/>
        <v>0.6</v>
      </c>
      <c r="I33" s="295">
        <f t="shared" si="26"/>
        <v>0.6</v>
      </c>
      <c r="J33" s="295">
        <f t="shared" si="26"/>
        <v>0.6</v>
      </c>
      <c r="K33" s="44"/>
      <c r="L33"/>
      <c r="M33"/>
      <c r="N33"/>
    </row>
    <row r="34" spans="1:15" ht="16.8" customHeight="1" x14ac:dyDescent="0.25">
      <c r="A34" s="88" t="s">
        <v>278</v>
      </c>
      <c r="B34" s="153">
        <f>+B17*B30*B32</f>
        <v>1881699.3439500001</v>
      </c>
      <c r="C34" s="153">
        <f>+C17*C30*C32</f>
        <v>1881699.3439500001</v>
      </c>
      <c r="D34" s="153">
        <f t="shared" ref="D34:J34" si="27">+D17*D30*D32</f>
        <v>1881699.3439500001</v>
      </c>
      <c r="E34" s="153">
        <f t="shared" si="27"/>
        <v>2428214.0381999998</v>
      </c>
      <c r="F34" s="153">
        <f t="shared" si="27"/>
        <v>1881699.3439500001</v>
      </c>
      <c r="G34" s="153">
        <f t="shared" si="27"/>
        <v>1881699.3439500001</v>
      </c>
      <c r="H34" s="153">
        <f t="shared" si="27"/>
        <v>1881699.3439500001</v>
      </c>
      <c r="I34" s="153">
        <f t="shared" si="27"/>
        <v>1628862.5890500001</v>
      </c>
      <c r="J34" s="153">
        <f t="shared" si="27"/>
        <v>1628862.5890500001</v>
      </c>
      <c r="K34" s="587"/>
      <c r="L34"/>
      <c r="M34"/>
      <c r="N34"/>
    </row>
    <row r="35" spans="1:15" ht="16.8" customHeight="1" x14ac:dyDescent="0.25">
      <c r="A35" s="88" t="s">
        <v>197</v>
      </c>
      <c r="B35" s="153">
        <f>+B18*B31*B33</f>
        <v>817819.53749999998</v>
      </c>
      <c r="C35" s="153">
        <f>+C18*C31*C33</f>
        <v>817819.53749999998</v>
      </c>
      <c r="D35" s="153">
        <f t="shared" ref="D35:J35" si="28">+D18*D31*D33</f>
        <v>817819.53749999998</v>
      </c>
      <c r="E35" s="153">
        <f t="shared" si="28"/>
        <v>1325004.1377000001</v>
      </c>
      <c r="F35" s="153">
        <f t="shared" si="28"/>
        <v>817819.53749999998</v>
      </c>
      <c r="G35" s="153">
        <f t="shared" si="28"/>
        <v>817819.53749999998</v>
      </c>
      <c r="H35" s="153">
        <f t="shared" si="28"/>
        <v>817819.53749999998</v>
      </c>
      <c r="I35" s="153">
        <f t="shared" si="28"/>
        <v>707565.95594999997</v>
      </c>
      <c r="J35" s="153">
        <f t="shared" si="28"/>
        <v>707565.95594999997</v>
      </c>
      <c r="K35" s="587"/>
      <c r="L35"/>
      <c r="M35"/>
      <c r="N35"/>
    </row>
    <row r="36" spans="1:15" ht="16.8" customHeight="1" x14ac:dyDescent="0.25">
      <c r="A36" s="88" t="s">
        <v>279</v>
      </c>
      <c r="B36" s="328">
        <v>0</v>
      </c>
      <c r="C36" s="328">
        <v>2500</v>
      </c>
      <c r="D36" s="328">
        <v>2500</v>
      </c>
      <c r="E36" s="328">
        <v>2500</v>
      </c>
      <c r="F36" s="328">
        <v>2500</v>
      </c>
      <c r="G36" s="328">
        <v>2046</v>
      </c>
      <c r="H36" s="328">
        <f>+G36</f>
        <v>2046</v>
      </c>
      <c r="I36" s="328">
        <f>+H36</f>
        <v>2046</v>
      </c>
      <c r="J36" s="328">
        <f>+I36</f>
        <v>2046</v>
      </c>
      <c r="K36" s="587"/>
      <c r="L36"/>
      <c r="M36"/>
      <c r="N36"/>
    </row>
    <row r="37" spans="1:15" ht="16.8" customHeight="1" x14ac:dyDescent="0.25">
      <c r="A37" s="88" t="s">
        <v>122</v>
      </c>
      <c r="B37" s="328">
        <v>58414.879999999997</v>
      </c>
      <c r="C37" s="328">
        <v>58414.879999999997</v>
      </c>
      <c r="D37" s="328">
        <f>C37</f>
        <v>58414.879999999997</v>
      </c>
      <c r="E37" s="328">
        <f>D37</f>
        <v>58414.879999999997</v>
      </c>
      <c r="F37" s="328">
        <f>E37</f>
        <v>58414.879999999997</v>
      </c>
      <c r="G37" s="328">
        <v>0</v>
      </c>
      <c r="H37" s="328">
        <v>0</v>
      </c>
      <c r="I37" s="328">
        <v>0</v>
      </c>
      <c r="J37" s="328">
        <v>0</v>
      </c>
      <c r="K37" s="587"/>
      <c r="L37"/>
      <c r="M37"/>
      <c r="N37"/>
    </row>
    <row r="38" spans="1:15" ht="16.8" customHeight="1" x14ac:dyDescent="0.25">
      <c r="A38" s="88" t="s">
        <v>280</v>
      </c>
      <c r="B38" s="328">
        <v>34.6</v>
      </c>
      <c r="C38" s="328">
        <f t="shared" si="15"/>
        <v>34.6</v>
      </c>
      <c r="D38" s="328">
        <f t="shared" ref="D38" si="29">+C38</f>
        <v>34.6</v>
      </c>
      <c r="E38" s="328">
        <f t="shared" ref="E38" si="30">+D38</f>
        <v>34.6</v>
      </c>
      <c r="F38" s="328">
        <f t="shared" ref="F38" si="31">+E38</f>
        <v>34.6</v>
      </c>
      <c r="G38" s="328">
        <f t="shared" ref="G38" si="32">+F38</f>
        <v>34.6</v>
      </c>
      <c r="H38" s="328">
        <f t="shared" ref="H38" si="33">+G38</f>
        <v>34.6</v>
      </c>
      <c r="I38" s="328">
        <f t="shared" ref="I38" si="34">+H38</f>
        <v>34.6</v>
      </c>
      <c r="J38" s="328">
        <f t="shared" ref="J38" si="35">+I38</f>
        <v>34.6</v>
      </c>
      <c r="K38" s="44"/>
      <c r="L38"/>
      <c r="M38"/>
      <c r="N38"/>
    </row>
    <row r="39" spans="1:15" ht="16.8" customHeight="1" x14ac:dyDescent="0.25">
      <c r="A39" s="88" t="s">
        <v>281</v>
      </c>
      <c r="B39" s="294">
        <v>6.5500000000000003E-2</v>
      </c>
      <c r="C39" s="294">
        <v>6.5500000000000003E-2</v>
      </c>
      <c r="D39" s="294">
        <f t="shared" ref="D39:J40" si="36">+C39</f>
        <v>6.5500000000000003E-2</v>
      </c>
      <c r="E39" s="294">
        <f t="shared" si="36"/>
        <v>6.5500000000000003E-2</v>
      </c>
      <c r="F39" s="294">
        <f t="shared" si="36"/>
        <v>6.5500000000000003E-2</v>
      </c>
      <c r="G39" s="294">
        <f t="shared" si="36"/>
        <v>6.5500000000000003E-2</v>
      </c>
      <c r="H39" s="294">
        <f t="shared" si="36"/>
        <v>6.5500000000000003E-2</v>
      </c>
      <c r="I39" s="294">
        <f t="shared" si="36"/>
        <v>6.5500000000000003E-2</v>
      </c>
      <c r="J39" s="294">
        <f t="shared" si="36"/>
        <v>6.5500000000000003E-2</v>
      </c>
      <c r="K39" s="606"/>
      <c r="L39"/>
      <c r="M39"/>
      <c r="N39"/>
    </row>
    <row r="40" spans="1:15" ht="16.8" customHeight="1" x14ac:dyDescent="0.25">
      <c r="A40" s="88" t="s">
        <v>282</v>
      </c>
      <c r="B40" s="294">
        <v>0.06</v>
      </c>
      <c r="C40" s="294">
        <f>+B40</f>
        <v>0.06</v>
      </c>
      <c r="D40" s="294">
        <f t="shared" si="36"/>
        <v>0.06</v>
      </c>
      <c r="E40" s="294">
        <f t="shared" si="36"/>
        <v>0.06</v>
      </c>
      <c r="F40" s="294">
        <f t="shared" si="36"/>
        <v>0.06</v>
      </c>
      <c r="G40" s="294">
        <f t="shared" si="36"/>
        <v>0.06</v>
      </c>
      <c r="H40" s="294">
        <f t="shared" si="36"/>
        <v>0.06</v>
      </c>
      <c r="I40" s="294">
        <f t="shared" si="36"/>
        <v>0.06</v>
      </c>
      <c r="J40" s="294">
        <f t="shared" si="36"/>
        <v>0.06</v>
      </c>
      <c r="K40" s="44"/>
      <c r="L40"/>
      <c r="M40"/>
      <c r="N40"/>
    </row>
    <row r="41" spans="1:15" ht="16.8" customHeight="1" x14ac:dyDescent="0.25">
      <c r="A41" s="88" t="s">
        <v>283</v>
      </c>
      <c r="B41" s="294">
        <v>0.08</v>
      </c>
      <c r="C41" s="294">
        <f>+B41</f>
        <v>0.08</v>
      </c>
      <c r="D41" s="294">
        <f t="shared" ref="D41:J41" si="37">+C41</f>
        <v>0.08</v>
      </c>
      <c r="E41" s="294">
        <f t="shared" si="37"/>
        <v>0.08</v>
      </c>
      <c r="F41" s="294">
        <f t="shared" si="37"/>
        <v>0.08</v>
      </c>
      <c r="G41" s="294">
        <f t="shared" si="37"/>
        <v>0.08</v>
      </c>
      <c r="H41" s="294">
        <f t="shared" si="37"/>
        <v>0.08</v>
      </c>
      <c r="I41" s="294">
        <f t="shared" si="37"/>
        <v>0.08</v>
      </c>
      <c r="J41" s="294">
        <f t="shared" si="37"/>
        <v>0.08</v>
      </c>
      <c r="K41" s="606"/>
      <c r="L41"/>
      <c r="M41"/>
      <c r="N41"/>
    </row>
    <row r="42" spans="1:15" ht="16.8" customHeight="1" x14ac:dyDescent="0.25">
      <c r="A42" s="88" t="s">
        <v>284</v>
      </c>
      <c r="B42" s="294">
        <v>0.04</v>
      </c>
      <c r="C42" s="294">
        <f>+B42</f>
        <v>0.04</v>
      </c>
      <c r="D42" s="294">
        <f t="shared" ref="D42:J42" si="38">+C42</f>
        <v>0.04</v>
      </c>
      <c r="E42" s="294">
        <f t="shared" si="38"/>
        <v>0.04</v>
      </c>
      <c r="F42" s="294">
        <f t="shared" si="38"/>
        <v>0.04</v>
      </c>
      <c r="G42" s="294">
        <f t="shared" si="38"/>
        <v>0.04</v>
      </c>
      <c r="H42" s="294">
        <f t="shared" si="38"/>
        <v>0.04</v>
      </c>
      <c r="I42" s="294">
        <f t="shared" si="38"/>
        <v>0.04</v>
      </c>
      <c r="J42" s="294">
        <f t="shared" si="38"/>
        <v>0.04</v>
      </c>
      <c r="K42" s="606"/>
      <c r="L42"/>
      <c r="M42"/>
      <c r="N42"/>
    </row>
    <row r="43" spans="1:15" ht="16.8" customHeight="1" x14ac:dyDescent="0.25">
      <c r="A43" s="88" t="s">
        <v>196</v>
      </c>
      <c r="B43" s="328">
        <v>81323.649999999994</v>
      </c>
      <c r="C43" s="550">
        <v>81323.649999999994</v>
      </c>
      <c r="D43" s="550">
        <f t="shared" ref="D43:J43" si="39">+C43</f>
        <v>81323.649999999994</v>
      </c>
      <c r="E43" s="550">
        <f t="shared" si="39"/>
        <v>81323.649999999994</v>
      </c>
      <c r="F43" s="550">
        <f t="shared" si="39"/>
        <v>81323.649999999994</v>
      </c>
      <c r="G43" s="550">
        <f t="shared" si="39"/>
        <v>81323.649999999994</v>
      </c>
      <c r="H43" s="550">
        <f t="shared" si="39"/>
        <v>81323.649999999994</v>
      </c>
      <c r="I43" s="550">
        <f t="shared" si="39"/>
        <v>81323.649999999994</v>
      </c>
      <c r="J43" s="550">
        <f t="shared" si="39"/>
        <v>81323.649999999994</v>
      </c>
      <c r="K43" s="587"/>
      <c r="L43"/>
      <c r="M43"/>
      <c r="N43"/>
    </row>
    <row r="44" spans="1:15" ht="16.8" customHeight="1" x14ac:dyDescent="0.25">
      <c r="A44" s="88" t="s">
        <v>285</v>
      </c>
      <c r="B44" s="328">
        <v>528603.72</v>
      </c>
      <c r="C44" s="550">
        <v>528603.72</v>
      </c>
      <c r="D44" s="550">
        <f t="shared" ref="D44:E46" si="40">+C44</f>
        <v>528603.72</v>
      </c>
      <c r="E44" s="550">
        <f t="shared" si="40"/>
        <v>528603.72</v>
      </c>
      <c r="F44" s="550">
        <v>379355.42</v>
      </c>
      <c r="G44" s="550">
        <v>379355.42</v>
      </c>
      <c r="H44" s="550">
        <v>379355.42</v>
      </c>
      <c r="I44" s="550">
        <v>379355.42</v>
      </c>
      <c r="J44" s="550">
        <v>379355.42</v>
      </c>
      <c r="K44" s="587"/>
      <c r="L44"/>
      <c r="M44"/>
      <c r="N44"/>
      <c r="O44"/>
    </row>
    <row r="45" spans="1:15" ht="16.8" customHeight="1" x14ac:dyDescent="0.25">
      <c r="A45" s="88" t="s">
        <v>195</v>
      </c>
      <c r="B45" s="328">
        <v>813236.49</v>
      </c>
      <c r="C45" s="550">
        <v>813236.49</v>
      </c>
      <c r="D45" s="550">
        <f t="shared" si="40"/>
        <v>813236.49</v>
      </c>
      <c r="E45" s="550">
        <f t="shared" si="40"/>
        <v>813236.49</v>
      </c>
      <c r="F45" s="550">
        <v>583623.72</v>
      </c>
      <c r="G45" s="550">
        <v>583623.72</v>
      </c>
      <c r="H45" s="550">
        <v>583623.72</v>
      </c>
      <c r="I45" s="550">
        <v>583623.72</v>
      </c>
      <c r="J45" s="550">
        <v>583623.72</v>
      </c>
      <c r="K45" s="587"/>
      <c r="L45"/>
      <c r="M45"/>
      <c r="N45"/>
      <c r="O45"/>
    </row>
    <row r="46" spans="1:15" ht="16.8" customHeight="1" x14ac:dyDescent="0.25">
      <c r="A46" s="88" t="s">
        <v>194</v>
      </c>
      <c r="B46" s="328">
        <v>329123.89</v>
      </c>
      <c r="C46" s="550">
        <v>329123.89</v>
      </c>
      <c r="D46" s="550">
        <f t="shared" si="40"/>
        <v>329123.89</v>
      </c>
      <c r="E46" s="550">
        <f t="shared" si="40"/>
        <v>329123.89</v>
      </c>
      <c r="F46" s="550">
        <v>236197.6</v>
      </c>
      <c r="G46" s="550">
        <v>236197.6</v>
      </c>
      <c r="H46" s="550">
        <v>236197.6</v>
      </c>
      <c r="I46" s="550">
        <v>236197.6</v>
      </c>
      <c r="J46" s="550">
        <v>236197.6</v>
      </c>
      <c r="K46" s="587"/>
      <c r="L46"/>
      <c r="M46"/>
      <c r="N46"/>
      <c r="O46"/>
    </row>
    <row r="47" spans="1:15" ht="16.8" customHeight="1" x14ac:dyDescent="0.25">
      <c r="A47" s="88" t="s">
        <v>286</v>
      </c>
      <c r="B47" s="56">
        <v>7.4999999999999997E-3</v>
      </c>
      <c r="C47" s="138">
        <v>1.129E-2</v>
      </c>
      <c r="D47" s="138">
        <v>1.129E-2</v>
      </c>
      <c r="E47" s="138">
        <v>1.129E-2</v>
      </c>
      <c r="F47" s="295">
        <f>2*B47</f>
        <v>1.4999999999999999E-2</v>
      </c>
      <c r="G47" s="295">
        <f>+F47</f>
        <v>1.4999999999999999E-2</v>
      </c>
      <c r="H47" s="295">
        <f>+G47</f>
        <v>1.4999999999999999E-2</v>
      </c>
      <c r="I47" s="295">
        <f>+H47</f>
        <v>1.4999999999999999E-2</v>
      </c>
      <c r="J47" s="295">
        <f>+I47</f>
        <v>1.4999999999999999E-2</v>
      </c>
      <c r="K47" s="594"/>
      <c r="L47"/>
      <c r="M47"/>
      <c r="N47"/>
      <c r="O47"/>
    </row>
    <row r="48" spans="1:15" ht="16.8" customHeight="1" x14ac:dyDescent="0.25">
      <c r="A48" s="88" t="s">
        <v>193</v>
      </c>
      <c r="B48" s="467">
        <v>0</v>
      </c>
      <c r="C48" s="295">
        <v>0</v>
      </c>
      <c r="D48" s="295">
        <v>0</v>
      </c>
      <c r="E48" s="295">
        <v>0</v>
      </c>
      <c r="F48" s="295">
        <v>0</v>
      </c>
      <c r="G48" s="328">
        <v>191655.74</v>
      </c>
      <c r="H48" s="328">
        <f>+G48</f>
        <v>191655.74</v>
      </c>
      <c r="I48" s="328">
        <f t="shared" ref="I48:J48" si="41">+H48</f>
        <v>191655.74</v>
      </c>
      <c r="J48" s="328">
        <f t="shared" si="41"/>
        <v>191655.74</v>
      </c>
      <c r="K48" s="44"/>
      <c r="L48"/>
      <c r="M48"/>
      <c r="N48"/>
      <c r="O48"/>
    </row>
    <row r="49" spans="1:15" ht="16.8" customHeight="1" x14ac:dyDescent="0.25">
      <c r="A49" s="88" t="s">
        <v>503</v>
      </c>
      <c r="B49" s="467">
        <v>0</v>
      </c>
      <c r="C49" s="295">
        <v>0</v>
      </c>
      <c r="D49" s="295">
        <v>0</v>
      </c>
      <c r="E49" s="295">
        <v>0</v>
      </c>
      <c r="F49" s="295">
        <v>0</v>
      </c>
      <c r="G49" s="328">
        <v>0</v>
      </c>
      <c r="H49" s="328">
        <v>0</v>
      </c>
      <c r="I49" s="328">
        <f t="shared" ref="I49" si="42">+H49</f>
        <v>0</v>
      </c>
      <c r="J49" s="328">
        <f t="shared" ref="J49" si="43">+I49</f>
        <v>0</v>
      </c>
      <c r="K49" s="44"/>
      <c r="L49"/>
      <c r="M49"/>
      <c r="N49"/>
      <c r="O49"/>
    </row>
    <row r="50" spans="1:15" ht="16.8" customHeight="1" x14ac:dyDescent="0.25">
      <c r="A50" s="88" t="s">
        <v>192</v>
      </c>
      <c r="B50" s="608">
        <v>0</v>
      </c>
      <c r="C50" s="116">
        <v>0</v>
      </c>
      <c r="D50" s="116">
        <v>0</v>
      </c>
      <c r="E50" s="116">
        <v>0</v>
      </c>
      <c r="F50" s="116">
        <v>0</v>
      </c>
      <c r="G50" s="153">
        <f>+G48*12</f>
        <v>2299868.88</v>
      </c>
      <c r="H50" s="153">
        <f>+G50</f>
        <v>2299868.88</v>
      </c>
      <c r="I50" s="153">
        <f>+H50</f>
        <v>2299868.88</v>
      </c>
      <c r="J50" s="153">
        <f>+I50</f>
        <v>2299868.88</v>
      </c>
      <c r="K50" s="44"/>
      <c r="L50"/>
      <c r="M50"/>
      <c r="N50"/>
      <c r="O50"/>
    </row>
    <row r="51" spans="1:15" ht="16.8" customHeight="1" x14ac:dyDescent="0.25">
      <c r="A51" s="329"/>
      <c r="B51" s="469"/>
      <c r="C51" s="468"/>
      <c r="D51" s="469"/>
      <c r="E51" s="469"/>
      <c r="F51" s="469"/>
      <c r="G51" s="470"/>
      <c r="H51" s="330"/>
      <c r="I51" s="330"/>
      <c r="J51" s="330"/>
      <c r="K51" s="330"/>
      <c r="L51"/>
      <c r="M51"/>
      <c r="N51"/>
      <c r="O51"/>
    </row>
    <row r="52" spans="1:15" ht="16.8" customHeight="1" x14ac:dyDescent="0.25">
      <c r="A52" s="88" t="s">
        <v>287</v>
      </c>
      <c r="B52" s="294">
        <v>0.66</v>
      </c>
      <c r="C52" s="294">
        <f>+B52</f>
        <v>0.66</v>
      </c>
      <c r="D52" s="294">
        <f t="shared" ref="D52:J52" si="44">+C52</f>
        <v>0.66</v>
      </c>
      <c r="E52" s="294">
        <f t="shared" si="44"/>
        <v>0.66</v>
      </c>
      <c r="F52" s="294">
        <f t="shared" si="44"/>
        <v>0.66</v>
      </c>
      <c r="G52" s="294">
        <f t="shared" si="44"/>
        <v>0.66</v>
      </c>
      <c r="H52" s="294">
        <f t="shared" si="44"/>
        <v>0.66</v>
      </c>
      <c r="I52" s="294">
        <f t="shared" si="44"/>
        <v>0.66</v>
      </c>
      <c r="J52" s="294">
        <f t="shared" si="44"/>
        <v>0.66</v>
      </c>
      <c r="K52" s="134"/>
      <c r="N52"/>
      <c r="O52"/>
    </row>
    <row r="53" spans="1:15" ht="16.8" customHeight="1" x14ac:dyDescent="0.25">
      <c r="A53" s="89"/>
      <c r="B53" s="44"/>
      <c r="C53" s="44"/>
      <c r="D53" s="44"/>
      <c r="E53" s="44"/>
      <c r="F53" s="44"/>
      <c r="G53" s="44"/>
      <c r="H53" s="44"/>
      <c r="I53" s="44"/>
      <c r="J53" s="44"/>
      <c r="K53" s="134"/>
      <c r="N53"/>
      <c r="O53"/>
    </row>
    <row r="54" spans="1:15" ht="16.8" customHeight="1" x14ac:dyDescent="0.25">
      <c r="A54" s="86" t="s">
        <v>490</v>
      </c>
      <c r="B54" s="199" t="s">
        <v>330</v>
      </c>
      <c r="C54" s="199" t="s">
        <v>331</v>
      </c>
      <c r="D54" s="199" t="s">
        <v>332</v>
      </c>
      <c r="E54" s="199" t="s">
        <v>463</v>
      </c>
      <c r="F54" s="199" t="s">
        <v>464</v>
      </c>
      <c r="G54" s="199" t="s">
        <v>465</v>
      </c>
      <c r="H54" s="199" t="s">
        <v>334</v>
      </c>
      <c r="I54" s="199" t="s">
        <v>335</v>
      </c>
      <c r="J54" s="199" t="s">
        <v>336</v>
      </c>
      <c r="K54" s="135"/>
      <c r="L54"/>
      <c r="M54"/>
      <c r="N54"/>
      <c r="O54"/>
    </row>
    <row r="55" spans="1:15" ht="16.8" customHeight="1" x14ac:dyDescent="0.25">
      <c r="A55" s="87" t="s">
        <v>288</v>
      </c>
      <c r="B55" s="331">
        <v>3.2000000000000002E-3</v>
      </c>
      <c r="C55" s="331">
        <f>+B55</f>
        <v>3.2000000000000002E-3</v>
      </c>
      <c r="D55" s="331">
        <f t="shared" ref="D55:J55" si="45">+C55</f>
        <v>3.2000000000000002E-3</v>
      </c>
      <c r="E55" s="331">
        <f t="shared" si="45"/>
        <v>3.2000000000000002E-3</v>
      </c>
      <c r="F55" s="331">
        <f t="shared" si="45"/>
        <v>3.2000000000000002E-3</v>
      </c>
      <c r="G55" s="331">
        <f t="shared" si="45"/>
        <v>3.2000000000000002E-3</v>
      </c>
      <c r="H55" s="331">
        <f t="shared" si="45"/>
        <v>3.2000000000000002E-3</v>
      </c>
      <c r="I55" s="331">
        <f t="shared" si="45"/>
        <v>3.2000000000000002E-3</v>
      </c>
      <c r="J55" s="331">
        <f t="shared" si="45"/>
        <v>3.2000000000000002E-3</v>
      </c>
      <c r="K55" s="135"/>
      <c r="L55"/>
      <c r="M55"/>
      <c r="N55"/>
      <c r="O55"/>
    </row>
    <row r="56" spans="1:15" ht="16.8" customHeight="1" x14ac:dyDescent="0.25">
      <c r="A56" s="88" t="s">
        <v>289</v>
      </c>
      <c r="B56" s="294">
        <v>4.4000000000000003E-3</v>
      </c>
      <c r="C56" s="331">
        <f>+B56</f>
        <v>4.4000000000000003E-3</v>
      </c>
      <c r="D56" s="331">
        <f t="shared" ref="D56:J56" si="46">+C56</f>
        <v>4.4000000000000003E-3</v>
      </c>
      <c r="E56" s="331">
        <f t="shared" si="46"/>
        <v>4.4000000000000003E-3</v>
      </c>
      <c r="F56" s="331">
        <f t="shared" si="46"/>
        <v>4.4000000000000003E-3</v>
      </c>
      <c r="G56" s="331">
        <f t="shared" si="46"/>
        <v>4.4000000000000003E-3</v>
      </c>
      <c r="H56" s="331">
        <f t="shared" si="46"/>
        <v>4.4000000000000003E-3</v>
      </c>
      <c r="I56" s="331">
        <f t="shared" si="46"/>
        <v>4.4000000000000003E-3</v>
      </c>
      <c r="J56" s="331">
        <f t="shared" si="46"/>
        <v>4.4000000000000003E-3</v>
      </c>
      <c r="K56" s="135"/>
      <c r="L56"/>
      <c r="M56"/>
      <c r="N56"/>
      <c r="O56"/>
    </row>
    <row r="57" spans="1:15" ht="16.8" customHeight="1" x14ac:dyDescent="0.25">
      <c r="A57" s="88" t="s">
        <v>290</v>
      </c>
      <c r="B57" s="294">
        <v>2.5000000000000001E-3</v>
      </c>
      <c r="C57" s="331">
        <f>+B57</f>
        <v>2.5000000000000001E-3</v>
      </c>
      <c r="D57" s="331">
        <f t="shared" ref="D57:J57" si="47">+C57</f>
        <v>2.5000000000000001E-3</v>
      </c>
      <c r="E57" s="331">
        <f t="shared" si="47"/>
        <v>2.5000000000000001E-3</v>
      </c>
      <c r="F57" s="331">
        <f t="shared" si="47"/>
        <v>2.5000000000000001E-3</v>
      </c>
      <c r="G57" s="331">
        <f t="shared" si="47"/>
        <v>2.5000000000000001E-3</v>
      </c>
      <c r="H57" s="331">
        <f t="shared" si="47"/>
        <v>2.5000000000000001E-3</v>
      </c>
      <c r="I57" s="331">
        <f t="shared" si="47"/>
        <v>2.5000000000000001E-3</v>
      </c>
      <c r="J57" s="331">
        <f t="shared" si="47"/>
        <v>2.5000000000000001E-3</v>
      </c>
      <c r="K57" s="135"/>
      <c r="L57"/>
      <c r="M57"/>
      <c r="N57"/>
      <c r="O57"/>
    </row>
    <row r="58" spans="1:15" ht="16.8" customHeight="1" x14ac:dyDescent="0.25">
      <c r="A58" s="88" t="s">
        <v>291</v>
      </c>
      <c r="B58" s="294">
        <v>0.03</v>
      </c>
      <c r="C58" s="331">
        <f>+B58</f>
        <v>0.03</v>
      </c>
      <c r="D58" s="331">
        <f t="shared" ref="D58:J58" si="48">+C58</f>
        <v>0.03</v>
      </c>
      <c r="E58" s="331">
        <f t="shared" si="48"/>
        <v>0.03</v>
      </c>
      <c r="F58" s="331">
        <f t="shared" si="48"/>
        <v>0.03</v>
      </c>
      <c r="G58" s="331">
        <f t="shared" si="48"/>
        <v>0.03</v>
      </c>
      <c r="H58" s="331">
        <f t="shared" si="48"/>
        <v>0.03</v>
      </c>
      <c r="I58" s="331">
        <f t="shared" si="48"/>
        <v>0.03</v>
      </c>
      <c r="J58" s="331">
        <f t="shared" si="48"/>
        <v>0.03</v>
      </c>
      <c r="K58" s="135"/>
      <c r="L58"/>
      <c r="M58"/>
      <c r="N58"/>
      <c r="O58"/>
    </row>
    <row r="59" spans="1:15" ht="16.8" customHeight="1" x14ac:dyDescent="0.25">
      <c r="A59" s="88" t="s">
        <v>292</v>
      </c>
      <c r="B59" s="332">
        <f>+(1+B20)/2</f>
        <v>0.52500000000000002</v>
      </c>
      <c r="C59" s="332">
        <f>+(1+C20)/2</f>
        <v>0.52500000000000002</v>
      </c>
      <c r="D59" s="332">
        <f t="shared" ref="D59:J59" si="49">+(1+D20)/2</f>
        <v>0.52500000000000002</v>
      </c>
      <c r="E59" s="332">
        <f t="shared" si="49"/>
        <v>0.52500000000000002</v>
      </c>
      <c r="F59" s="332">
        <f t="shared" si="49"/>
        <v>0.52500000000000002</v>
      </c>
      <c r="G59" s="332">
        <f t="shared" si="49"/>
        <v>0.52500000000000002</v>
      </c>
      <c r="H59" s="332">
        <f t="shared" si="49"/>
        <v>0.52500000000000002</v>
      </c>
      <c r="I59" s="332">
        <f t="shared" si="49"/>
        <v>0.52500000000000002</v>
      </c>
      <c r="J59" s="332">
        <f t="shared" si="49"/>
        <v>0.52500000000000002</v>
      </c>
      <c r="K59" s="135"/>
      <c r="L59"/>
      <c r="M59"/>
      <c r="N59"/>
      <c r="O59"/>
    </row>
    <row r="60" spans="1:15" ht="16.8" customHeight="1" x14ac:dyDescent="0.25">
      <c r="A60" s="88" t="s">
        <v>293</v>
      </c>
      <c r="B60" s="294">
        <v>0.17</v>
      </c>
      <c r="C60" s="331">
        <f>+B60</f>
        <v>0.17</v>
      </c>
      <c r="D60" s="331">
        <f t="shared" ref="D60:J60" si="50">+C60</f>
        <v>0.17</v>
      </c>
      <c r="E60" s="331">
        <f t="shared" si="50"/>
        <v>0.17</v>
      </c>
      <c r="F60" s="331">
        <f t="shared" si="50"/>
        <v>0.17</v>
      </c>
      <c r="G60" s="331">
        <f t="shared" si="50"/>
        <v>0.17</v>
      </c>
      <c r="H60" s="331">
        <f t="shared" si="50"/>
        <v>0.17</v>
      </c>
      <c r="I60" s="331">
        <f t="shared" si="50"/>
        <v>0.17</v>
      </c>
      <c r="J60" s="331">
        <f t="shared" si="50"/>
        <v>0.17</v>
      </c>
      <c r="K60" s="135"/>
      <c r="L60"/>
      <c r="M60"/>
      <c r="N60"/>
      <c r="O60"/>
    </row>
    <row r="61" spans="1:15" ht="16.8" customHeight="1" x14ac:dyDescent="0.25">
      <c r="A61" s="88" t="s">
        <v>123</v>
      </c>
      <c r="B61" s="294">
        <v>0.35</v>
      </c>
      <c r="C61" s="331">
        <f>+B61</f>
        <v>0.35</v>
      </c>
      <c r="D61" s="331">
        <f t="shared" ref="D61:J61" si="51">+C61</f>
        <v>0.35</v>
      </c>
      <c r="E61" s="331">
        <f t="shared" si="51"/>
        <v>0.35</v>
      </c>
      <c r="F61" s="331">
        <f t="shared" si="51"/>
        <v>0.35</v>
      </c>
      <c r="G61" s="331">
        <f t="shared" si="51"/>
        <v>0.35</v>
      </c>
      <c r="H61" s="331">
        <f t="shared" si="51"/>
        <v>0.35</v>
      </c>
      <c r="I61" s="331">
        <f t="shared" si="51"/>
        <v>0.35</v>
      </c>
      <c r="J61" s="331">
        <f t="shared" si="51"/>
        <v>0.35</v>
      </c>
      <c r="K61" s="135"/>
      <c r="L61"/>
      <c r="M61"/>
      <c r="N61"/>
      <c r="O61"/>
    </row>
    <row r="62" spans="1:15" ht="16.8" customHeight="1" x14ac:dyDescent="0.25">
      <c r="A62" s="70"/>
      <c r="B62" s="118"/>
      <c r="C62" s="118"/>
      <c r="D62" s="118"/>
      <c r="E62" s="118"/>
      <c r="F62" s="118"/>
      <c r="G62" s="118"/>
      <c r="H62" s="118"/>
      <c r="I62" s="118"/>
      <c r="J62" s="118"/>
      <c r="L62"/>
      <c r="M62"/>
      <c r="N62"/>
      <c r="O62"/>
    </row>
    <row r="63" spans="1:15" ht="16.8" customHeight="1" x14ac:dyDescent="0.25">
      <c r="A63" s="70"/>
      <c r="B63" s="118"/>
      <c r="C63" s="118"/>
      <c r="D63" s="118"/>
      <c r="E63" s="118"/>
      <c r="F63" s="118"/>
      <c r="G63" s="118"/>
      <c r="H63" s="118"/>
      <c r="I63" s="118"/>
      <c r="J63" s="118"/>
      <c r="L63"/>
      <c r="M63"/>
      <c r="N63"/>
      <c r="O63"/>
    </row>
    <row r="64" spans="1:15" ht="16.8" customHeight="1" x14ac:dyDescent="0.25">
      <c r="A64" s="70"/>
      <c r="B64" s="118"/>
      <c r="C64" s="118"/>
      <c r="D64" s="118"/>
      <c r="E64" s="118"/>
      <c r="F64" s="118"/>
      <c r="G64" s="118"/>
      <c r="H64" s="118"/>
      <c r="I64" s="118"/>
      <c r="J64" s="118"/>
      <c r="L64"/>
      <c r="M64"/>
      <c r="N64"/>
      <c r="O64"/>
    </row>
    <row r="65" spans="1:16" ht="16.8" customHeight="1" x14ac:dyDescent="0.25">
      <c r="A65" s="70"/>
      <c r="B65" s="118"/>
      <c r="C65" s="118"/>
      <c r="D65" s="118"/>
      <c r="E65" s="118"/>
      <c r="F65" s="118"/>
      <c r="G65" s="118"/>
      <c r="H65" s="118"/>
      <c r="I65" s="118"/>
      <c r="J65" s="118"/>
      <c r="L65"/>
      <c r="M65"/>
      <c r="N65"/>
      <c r="O65"/>
    </row>
    <row r="66" spans="1:16" ht="16.8" customHeight="1" x14ac:dyDescent="0.25">
      <c r="A66" s="70"/>
      <c r="B66" s="118"/>
      <c r="C66" s="118"/>
      <c r="D66" s="118"/>
      <c r="E66" s="118"/>
      <c r="F66" s="118"/>
      <c r="G66" s="118"/>
      <c r="H66" s="118"/>
      <c r="I66" s="118"/>
      <c r="J66" s="118"/>
      <c r="L66"/>
      <c r="M66"/>
      <c r="N66"/>
      <c r="O66"/>
    </row>
    <row r="67" spans="1:16" ht="16.8" customHeight="1" x14ac:dyDescent="0.25">
      <c r="A67" s="70"/>
      <c r="B67" s="118"/>
      <c r="C67" s="118"/>
      <c r="D67" s="118"/>
      <c r="E67" s="118"/>
      <c r="F67" s="118"/>
      <c r="G67" s="118"/>
      <c r="H67" s="118"/>
      <c r="I67" s="118"/>
      <c r="J67" s="118"/>
      <c r="L67" s="134"/>
      <c r="M67" s="134"/>
      <c r="N67" s="134"/>
      <c r="O67" s="134"/>
      <c r="P67" s="23"/>
    </row>
    <row r="68" spans="1:16" ht="16.8" customHeight="1" x14ac:dyDescent="0.25">
      <c r="A68" s="70"/>
      <c r="B68" s="118"/>
      <c r="C68" s="118"/>
      <c r="D68" s="118"/>
      <c r="E68" s="118"/>
      <c r="F68" s="118"/>
      <c r="G68" s="118"/>
      <c r="H68" s="118"/>
      <c r="I68" s="118"/>
      <c r="J68" s="118"/>
      <c r="L68" s="134"/>
      <c r="M68" s="134"/>
      <c r="N68" s="134"/>
      <c r="O68" s="134"/>
      <c r="P68" s="23"/>
    </row>
    <row r="69" spans="1:16" ht="16.8" customHeight="1" x14ac:dyDescent="0.25">
      <c r="A69" s="70"/>
      <c r="B69" s="118"/>
      <c r="C69" s="118"/>
      <c r="D69" s="118"/>
      <c r="E69" s="118"/>
      <c r="F69" s="118"/>
      <c r="G69" s="118"/>
      <c r="H69" s="118"/>
      <c r="I69" s="118"/>
      <c r="J69" s="118"/>
      <c r="L69" s="134"/>
      <c r="M69" s="134"/>
      <c r="N69" s="134"/>
      <c r="O69" s="134"/>
      <c r="P69" s="23"/>
    </row>
    <row r="70" spans="1:16" ht="16.8" customHeight="1" x14ac:dyDescent="0.25">
      <c r="A70" s="70"/>
      <c r="B70" s="118"/>
      <c r="C70" s="118"/>
      <c r="D70" s="118"/>
      <c r="E70" s="118"/>
      <c r="F70" s="118"/>
      <c r="G70" s="118"/>
      <c r="H70" s="118"/>
      <c r="I70" s="118"/>
      <c r="J70" s="118"/>
    </row>
    <row r="71" spans="1:16" ht="16.8" customHeight="1" x14ac:dyDescent="0.25">
      <c r="A71" s="70"/>
      <c r="B71" s="118"/>
      <c r="C71" s="118"/>
      <c r="D71" s="118"/>
      <c r="E71" s="118"/>
      <c r="F71" s="118"/>
      <c r="G71" s="118"/>
      <c r="H71" s="118"/>
      <c r="I71" s="118"/>
      <c r="J71" s="118"/>
    </row>
    <row r="72" spans="1:16" ht="16.8" customHeight="1" x14ac:dyDescent="0.25">
      <c r="A72" s="70"/>
      <c r="B72" s="118"/>
      <c r="C72" s="118"/>
      <c r="D72" s="118"/>
      <c r="E72" s="118"/>
      <c r="F72" s="118"/>
      <c r="G72" s="118"/>
      <c r="H72" s="118"/>
      <c r="I72" s="118"/>
      <c r="J72" s="118"/>
    </row>
    <row r="73" spans="1:16" ht="16.8" customHeight="1" x14ac:dyDescent="0.25">
      <c r="A73" s="70"/>
      <c r="B73" s="118"/>
      <c r="C73" s="118"/>
      <c r="D73" s="118"/>
      <c r="E73" s="118"/>
      <c r="F73" s="118"/>
      <c r="G73" s="118"/>
      <c r="H73" s="118"/>
      <c r="I73" s="118"/>
      <c r="J73" s="118"/>
    </row>
    <row r="74" spans="1:16" ht="16.8" customHeight="1" x14ac:dyDescent="0.25">
      <c r="A74" s="70"/>
      <c r="B74" s="118"/>
      <c r="C74" s="118"/>
      <c r="D74" s="118"/>
      <c r="E74" s="118"/>
      <c r="F74" s="118"/>
      <c r="G74" s="118"/>
      <c r="H74" s="118"/>
      <c r="I74" s="118"/>
      <c r="J74" s="118"/>
    </row>
    <row r="75" spans="1:16" ht="16.8" customHeight="1" x14ac:dyDescent="0.25">
      <c r="A75" s="70"/>
      <c r="B75" s="118"/>
      <c r="C75" s="118"/>
      <c r="D75" s="118"/>
      <c r="E75" s="118"/>
      <c r="F75" s="118"/>
      <c r="G75" s="118"/>
      <c r="H75" s="118"/>
      <c r="I75" s="118"/>
      <c r="J75" s="118"/>
    </row>
  </sheetData>
  <pageMargins left="0.7" right="0.7" top="0.75" bottom="0.75" header="0.3" footer="0.3"/>
  <pageSetup paperSize="9" orientation="portrait" r:id="rId1"/>
  <ignoredErrors>
    <ignoredError sqref="C59:J59 C29:J2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48B8-12E3-4E76-80EB-59D376A1F489}">
  <dimension ref="A1:P52"/>
  <sheetViews>
    <sheetView topLeftCell="A26" zoomScale="96" zoomScaleNormal="96" workbookViewId="0">
      <selection activeCell="K49" sqref="K49"/>
    </sheetView>
  </sheetViews>
  <sheetFormatPr baseColWidth="10" defaultColWidth="11.5546875" defaultRowHeight="15.6" x14ac:dyDescent="0.3"/>
  <cols>
    <col min="1" max="1" width="22.77734375" style="97" customWidth="1"/>
    <col min="2" max="2" width="22.44140625" style="97" customWidth="1"/>
    <col min="3" max="3" width="10.44140625" style="98" customWidth="1"/>
    <col min="4" max="12" width="13.5546875" style="97" customWidth="1"/>
    <col min="13" max="16384" width="11.5546875" style="97"/>
  </cols>
  <sheetData>
    <row r="1" spans="1:16" x14ac:dyDescent="0.3">
      <c r="A1" s="226" t="s">
        <v>353</v>
      </c>
      <c r="D1" s="534"/>
      <c r="E1" s="535"/>
      <c r="F1" s="535"/>
      <c r="G1" s="534"/>
      <c r="H1" s="534"/>
      <c r="I1" s="534"/>
      <c r="J1" s="534"/>
      <c r="K1" s="534"/>
      <c r="L1" s="534"/>
    </row>
    <row r="2" spans="1:16" x14ac:dyDescent="0.3">
      <c r="D2" s="535"/>
      <c r="E2" s="535"/>
      <c r="F2" s="535"/>
      <c r="G2" s="535"/>
      <c r="H2" s="535"/>
      <c r="I2" s="535"/>
      <c r="J2" s="535"/>
      <c r="K2" s="535"/>
      <c r="L2" s="535"/>
    </row>
    <row r="3" spans="1:16" x14ac:dyDescent="0.3">
      <c r="A3" s="96" t="s">
        <v>204</v>
      </c>
      <c r="B3" s="96" t="s">
        <v>205</v>
      </c>
      <c r="C3" s="96" t="s">
        <v>206</v>
      </c>
      <c r="D3" s="96" t="s">
        <v>201</v>
      </c>
      <c r="E3" s="96" t="s">
        <v>202</v>
      </c>
      <c r="F3" s="96" t="s">
        <v>207</v>
      </c>
      <c r="G3" s="96" t="s">
        <v>208</v>
      </c>
      <c r="H3" s="96" t="s">
        <v>209</v>
      </c>
      <c r="I3" s="96" t="s">
        <v>210</v>
      </c>
      <c r="J3" s="96" t="s">
        <v>211</v>
      </c>
      <c r="K3" s="96" t="s">
        <v>212</v>
      </c>
      <c r="L3" s="96" t="s">
        <v>213</v>
      </c>
    </row>
    <row r="4" spans="1:16" ht="14.55" customHeight="1" x14ac:dyDescent="0.3">
      <c r="A4" s="99" t="s">
        <v>214</v>
      </c>
      <c r="B4" s="99" t="s">
        <v>215</v>
      </c>
      <c r="C4" s="99" t="s">
        <v>216</v>
      </c>
      <c r="D4" s="694">
        <f>+D14</f>
        <v>418661260.71221721</v>
      </c>
      <c r="E4" s="694">
        <f t="shared" ref="E4:L4" si="0">+E14</f>
        <v>390270600.47737569</v>
      </c>
      <c r="F4" s="694">
        <f t="shared" si="0"/>
        <v>1085138807.0226238</v>
      </c>
      <c r="G4" s="694">
        <f t="shared" si="0"/>
        <v>1028423425.6914032</v>
      </c>
      <c r="H4" s="694">
        <f t="shared" si="0"/>
        <v>296839153.51493227</v>
      </c>
      <c r="I4" s="694">
        <f t="shared" si="0"/>
        <v>273299564.93577182</v>
      </c>
      <c r="J4" s="694">
        <f t="shared" si="0"/>
        <v>357251037.11312211</v>
      </c>
      <c r="K4" s="694">
        <f t="shared" si="0"/>
        <v>223076334.53080398</v>
      </c>
      <c r="L4" s="694">
        <f t="shared" si="0"/>
        <v>123495581.77698766</v>
      </c>
    </row>
    <row r="5" spans="1:16" ht="14.55" customHeight="1" x14ac:dyDescent="0.3">
      <c r="A5" s="99" t="s">
        <v>214</v>
      </c>
      <c r="B5" s="99" t="s">
        <v>217</v>
      </c>
      <c r="C5" s="99" t="s">
        <v>216</v>
      </c>
      <c r="D5" s="694">
        <f>+D36</f>
        <v>1082706265.2703912</v>
      </c>
      <c r="E5" s="694">
        <f t="shared" ref="E5:L5" si="1">+E36</f>
        <v>1239681543.835757</v>
      </c>
      <c r="F5" s="694">
        <f t="shared" si="1"/>
        <v>3814289379.5504422</v>
      </c>
      <c r="G5" s="694">
        <f t="shared" si="1"/>
        <v>2869279257.442565</v>
      </c>
      <c r="H5" s="694">
        <f t="shared" si="1"/>
        <v>346306951.16634369</v>
      </c>
      <c r="I5" s="694">
        <f t="shared" si="1"/>
        <v>716294973.27875841</v>
      </c>
      <c r="J5" s="694">
        <f t="shared" si="1"/>
        <v>1026426079.9203283</v>
      </c>
      <c r="K5" s="694">
        <f t="shared" si="1"/>
        <v>547355641.82499266</v>
      </c>
      <c r="L5" s="694">
        <f t="shared" si="1"/>
        <v>346167060.44879389</v>
      </c>
    </row>
    <row r="6" spans="1:16" ht="14.55" customHeight="1" x14ac:dyDescent="0.3">
      <c r="A6" s="99" t="s">
        <v>214</v>
      </c>
      <c r="B6" s="99" t="s">
        <v>218</v>
      </c>
      <c r="C6" s="99" t="s">
        <v>219</v>
      </c>
      <c r="D6" s="694">
        <f>+(D4-D5)*'5-PRECIOS SIN IVA'!B40</f>
        <v>-39842700.273490436</v>
      </c>
      <c r="E6" s="694">
        <f>+(E4-E5)*'5-PRECIOS SIN IVA'!C40</f>
        <v>-50964656.601502873</v>
      </c>
      <c r="F6" s="694">
        <f>+(F4-F5)*'5-PRECIOS SIN IVA'!D40</f>
        <v>-163749034.3516691</v>
      </c>
      <c r="G6" s="694">
        <f>+(G4-G5)*'5-PRECIOS SIN IVA'!E40</f>
        <v>-110451349.90506971</v>
      </c>
      <c r="H6" s="694">
        <f>+(H4-H5)*'5-PRECIOS SIN IVA'!F40</f>
        <v>-2968067.8590846849</v>
      </c>
      <c r="I6" s="694">
        <f>+(I4-I5)*'5-PRECIOS SIN IVA'!G40</f>
        <v>-26579724.500579193</v>
      </c>
      <c r="J6" s="694">
        <f>+(J4-J5)*'5-PRECIOS SIN IVA'!H40</f>
        <v>-40150502.568432368</v>
      </c>
      <c r="K6" s="694">
        <f>+(K4-K5)*'5-PRECIOS SIN IVA'!I40</f>
        <v>-19456758.437651321</v>
      </c>
      <c r="L6" s="694">
        <f>+(L4-L5)*'5-PRECIOS SIN IVA'!J40</f>
        <v>-13360288.720308373</v>
      </c>
    </row>
    <row r="7" spans="1:16" ht="14.55" customHeight="1" x14ac:dyDescent="0.3">
      <c r="A7" s="99" t="s">
        <v>214</v>
      </c>
      <c r="B7" s="99" t="s">
        <v>220</v>
      </c>
      <c r="C7" s="100"/>
      <c r="D7" s="99" t="s">
        <v>221</v>
      </c>
      <c r="E7" s="99" t="s">
        <v>221</v>
      </c>
      <c r="F7" s="99" t="s">
        <v>221</v>
      </c>
      <c r="G7" s="99" t="s">
        <v>221</v>
      </c>
      <c r="H7" s="99" t="s">
        <v>221</v>
      </c>
      <c r="I7" s="99" t="s">
        <v>221</v>
      </c>
      <c r="J7" s="99" t="s">
        <v>221</v>
      </c>
      <c r="K7" s="99" t="s">
        <v>221</v>
      </c>
      <c r="L7" s="99" t="s">
        <v>221</v>
      </c>
    </row>
    <row r="8" spans="1:16" ht="14.55" customHeight="1" x14ac:dyDescent="0.3">
      <c r="A8" s="99" t="s">
        <v>214</v>
      </c>
      <c r="B8" s="99" t="s">
        <v>218</v>
      </c>
      <c r="C8" s="99" t="s">
        <v>222</v>
      </c>
      <c r="D8" s="695">
        <f>-D6/'2- EMP. REP'!B5</f>
        <v>14.17822548906952</v>
      </c>
      <c r="E8" s="695">
        <f>-E6/'2- EMP. REP'!C5</f>
        <v>13.448898753202004</v>
      </c>
      <c r="F8" s="695">
        <f>-F6/'2- EMP. REP'!D5</f>
        <v>12.252906139716362</v>
      </c>
      <c r="G8" s="695">
        <f>-G6/'2- EMP. REP'!E5</f>
        <v>10.492456989818395</v>
      </c>
      <c r="H8" s="695">
        <f>-H6/'2- EMP. REP'!F5</f>
        <v>1.9442437055630004</v>
      </c>
      <c r="I8" s="695">
        <f>-I6/'2- EMP. REP'!G5</f>
        <v>10.577387304910578</v>
      </c>
      <c r="J8" s="695">
        <f>-J6/'2- EMP. REP'!H5</f>
        <v>10.03313641077477</v>
      </c>
      <c r="K8" s="695">
        <f>-K6/'2- EMP. REP'!I5</f>
        <v>9.9132816852726897</v>
      </c>
      <c r="L8" s="695">
        <f>-L6/'2- EMP. REP'!J5</f>
        <v>10.457358619972704</v>
      </c>
    </row>
    <row r="9" spans="1:16" ht="14.55" customHeight="1" x14ac:dyDescent="0.3">
      <c r="A9" s="99" t="s">
        <v>223</v>
      </c>
      <c r="B9" s="99" t="s">
        <v>224</v>
      </c>
      <c r="C9" s="99" t="s">
        <v>229</v>
      </c>
      <c r="D9" s="694">
        <f>+'7-CALCULO TARIFARIO'!B23</f>
        <v>132177340882</v>
      </c>
      <c r="E9" s="694">
        <f>+'7-CALCULO TARIFARIO'!C23</f>
        <v>394284812368</v>
      </c>
      <c r="F9" s="694">
        <f>+'7-CALCULO TARIFARIO'!D23</f>
        <v>34259382336</v>
      </c>
      <c r="G9" s="694">
        <f>+'7-CALCULO TARIFARIO'!E23</f>
        <v>54114661209</v>
      </c>
      <c r="H9" s="694">
        <f>+'7-CALCULO TARIFARIO'!F23</f>
        <v>31238787108</v>
      </c>
      <c r="I9" s="694">
        <f>+'7-CALCULO TARIFARIO'!G23</f>
        <v>310624476947</v>
      </c>
      <c r="J9" s="694">
        <f>+'7-CALCULO TARIFARIO'!H23</f>
        <v>78952479202</v>
      </c>
      <c r="K9" s="694">
        <f>+'7-CALCULO TARIFARIO'!I23</f>
        <v>183113802602</v>
      </c>
      <c r="L9" s="694">
        <f>+'7-CALCULO TARIFARIO'!J23</f>
        <v>63682555003</v>
      </c>
      <c r="M9" s="697"/>
      <c r="N9" s="697"/>
      <c r="O9" s="697"/>
      <c r="P9" s="697"/>
    </row>
    <row r="10" spans="1:16" ht="14.55" customHeight="1" x14ac:dyDescent="0.3">
      <c r="A10" s="99" t="s">
        <v>223</v>
      </c>
      <c r="B10" s="99" t="s">
        <v>225</v>
      </c>
      <c r="C10" s="99" t="s">
        <v>226</v>
      </c>
      <c r="D10" s="104">
        <v>0.105</v>
      </c>
      <c r="E10" s="104">
        <f>+D10</f>
        <v>0.105</v>
      </c>
      <c r="F10" s="104">
        <f t="shared" ref="F10:L10" si="2">+E10</f>
        <v>0.105</v>
      </c>
      <c r="G10" s="104">
        <f t="shared" si="2"/>
        <v>0.105</v>
      </c>
      <c r="H10" s="104">
        <f t="shared" si="2"/>
        <v>0.105</v>
      </c>
      <c r="I10" s="104">
        <f t="shared" si="2"/>
        <v>0.105</v>
      </c>
      <c r="J10" s="104">
        <f t="shared" si="2"/>
        <v>0.105</v>
      </c>
      <c r="K10" s="104">
        <f t="shared" si="2"/>
        <v>0.105</v>
      </c>
      <c r="L10" s="104">
        <f t="shared" si="2"/>
        <v>0.105</v>
      </c>
    </row>
    <row r="11" spans="1:16" ht="14.55" customHeight="1" x14ac:dyDescent="0.3">
      <c r="A11" s="99" t="s">
        <v>223</v>
      </c>
      <c r="B11" s="99" t="s">
        <v>227</v>
      </c>
      <c r="C11" s="101"/>
      <c r="D11" s="105">
        <f>+'7-CALCULO TARIFARIO'!B6</f>
        <v>30</v>
      </c>
      <c r="E11" s="105">
        <f>+'7-CALCULO TARIFARIO'!C6</f>
        <v>96</v>
      </c>
      <c r="F11" s="105">
        <f>+'7-CALCULO TARIFARIO'!D6</f>
        <v>3</v>
      </c>
      <c r="G11" s="105">
        <f>+'7-CALCULO TARIFARIO'!E6</f>
        <v>5</v>
      </c>
      <c r="H11" s="105">
        <f>+'7-CALCULO TARIFARIO'!F6</f>
        <v>10</v>
      </c>
      <c r="I11" s="105">
        <f>+'7-CALCULO TARIFARIO'!G6</f>
        <v>108</v>
      </c>
      <c r="J11" s="105">
        <f>+'7-CALCULO TARIFARIO'!H6</f>
        <v>21</v>
      </c>
      <c r="K11" s="105">
        <f>+'7-CALCULO TARIFARIO'!I6</f>
        <v>78</v>
      </c>
      <c r="L11" s="105">
        <f>+'7-CALCULO TARIFARIO'!J6</f>
        <v>49</v>
      </c>
    </row>
    <row r="12" spans="1:16" ht="14.55" customHeight="1" x14ac:dyDescent="0.3">
      <c r="A12" s="99" t="s">
        <v>223</v>
      </c>
      <c r="B12" s="99" t="s">
        <v>228</v>
      </c>
      <c r="C12" s="99" t="s">
        <v>229</v>
      </c>
      <c r="D12" s="114">
        <v>0</v>
      </c>
      <c r="E12" s="114">
        <v>0</v>
      </c>
      <c r="F12" s="114">
        <v>0</v>
      </c>
      <c r="G12" s="114">
        <v>0</v>
      </c>
      <c r="H12" s="114">
        <v>0</v>
      </c>
      <c r="I12" s="114">
        <v>0</v>
      </c>
      <c r="J12" s="114">
        <v>0</v>
      </c>
      <c r="K12" s="114">
        <v>0</v>
      </c>
      <c r="L12" s="114">
        <v>0</v>
      </c>
    </row>
    <row r="13" spans="1:16" ht="14.55" customHeight="1" x14ac:dyDescent="0.3">
      <c r="A13" s="99" t="s">
        <v>223</v>
      </c>
      <c r="B13" s="99" t="s">
        <v>230</v>
      </c>
      <c r="C13" s="99" t="s">
        <v>226</v>
      </c>
      <c r="D13" s="114">
        <v>0.21</v>
      </c>
      <c r="E13" s="114">
        <f>+D13</f>
        <v>0.21</v>
      </c>
      <c r="F13" s="114">
        <f t="shared" ref="F13:L13" si="3">+E13</f>
        <v>0.21</v>
      </c>
      <c r="G13" s="114">
        <f t="shared" si="3"/>
        <v>0.21</v>
      </c>
      <c r="H13" s="114">
        <f t="shared" si="3"/>
        <v>0.21</v>
      </c>
      <c r="I13" s="114">
        <f t="shared" si="3"/>
        <v>0.21</v>
      </c>
      <c r="J13" s="114">
        <f t="shared" si="3"/>
        <v>0.21</v>
      </c>
      <c r="K13" s="114">
        <f t="shared" si="3"/>
        <v>0.21</v>
      </c>
      <c r="L13" s="114">
        <f t="shared" si="3"/>
        <v>0.21</v>
      </c>
    </row>
    <row r="14" spans="1:16" ht="14.55" customHeight="1" x14ac:dyDescent="0.3">
      <c r="A14" s="99" t="s">
        <v>223</v>
      </c>
      <c r="B14" s="99" t="s">
        <v>223</v>
      </c>
      <c r="C14" s="102"/>
      <c r="D14" s="694">
        <f>+(D9-D9/1.105)/D11</f>
        <v>418661260.71221721</v>
      </c>
      <c r="E14" s="694">
        <f t="shared" ref="E14:L14" si="4">+(E9-E9/1.105)/E11</f>
        <v>390270600.47737569</v>
      </c>
      <c r="F14" s="694">
        <f t="shared" si="4"/>
        <v>1085138807.0226238</v>
      </c>
      <c r="G14" s="694">
        <f t="shared" si="4"/>
        <v>1028423425.6914032</v>
      </c>
      <c r="H14" s="694">
        <f t="shared" si="4"/>
        <v>296839153.51493227</v>
      </c>
      <c r="I14" s="694">
        <f t="shared" si="4"/>
        <v>273299564.93577182</v>
      </c>
      <c r="J14" s="694">
        <f t="shared" si="4"/>
        <v>357251037.11312211</v>
      </c>
      <c r="K14" s="694">
        <f t="shared" si="4"/>
        <v>223076334.53080398</v>
      </c>
      <c r="L14" s="694">
        <f t="shared" si="4"/>
        <v>123495581.77698766</v>
      </c>
    </row>
    <row r="15" spans="1:16" ht="14.55" customHeight="1" x14ac:dyDescent="0.3">
      <c r="A15" s="99" t="s">
        <v>231</v>
      </c>
      <c r="B15" s="99" t="s">
        <v>232</v>
      </c>
      <c r="C15" s="99" t="s">
        <v>233</v>
      </c>
      <c r="D15" s="696">
        <f>+'8- COSTO COMBUST'!B20-'8- COSTO COMBUST'!B18-'8- COSTO COMBUST'!B14</f>
        <v>309.07006628099174</v>
      </c>
      <c r="E15" s="696">
        <f>+'8- COSTO COMBUST'!D20-'8- COSTO COMBUST'!D18-'8- COSTO COMBUST'!D14</f>
        <v>309.07006628099174</v>
      </c>
      <c r="F15" s="696">
        <f t="shared" ref="F15:L15" si="5">+E15</f>
        <v>309.07006628099174</v>
      </c>
      <c r="G15" s="696">
        <f t="shared" si="5"/>
        <v>309.07006628099174</v>
      </c>
      <c r="H15" s="696">
        <f t="shared" si="5"/>
        <v>309.07006628099174</v>
      </c>
      <c r="I15" s="696">
        <f t="shared" si="5"/>
        <v>309.07006628099174</v>
      </c>
      <c r="J15" s="696">
        <f t="shared" si="5"/>
        <v>309.07006628099174</v>
      </c>
      <c r="K15" s="696">
        <f t="shared" si="5"/>
        <v>309.07006628099174</v>
      </c>
      <c r="L15" s="696">
        <f t="shared" si="5"/>
        <v>309.07006628099174</v>
      </c>
    </row>
    <row r="16" spans="1:16" ht="14.55" customHeight="1" x14ac:dyDescent="0.3">
      <c r="A16" s="99" t="s">
        <v>231</v>
      </c>
      <c r="B16" s="99" t="s">
        <v>234</v>
      </c>
      <c r="C16" s="99" t="s">
        <v>233</v>
      </c>
      <c r="D16" s="696">
        <f>+'8- COSTO COMBUST'!C20-'8- COSTO COMBUST'!C18-'8- COSTO COMBUST'!C14</f>
        <v>0</v>
      </c>
      <c r="E16" s="696">
        <f>+'8- COSTO COMBUST'!E20-'8- COSTO COMBUST'!E18-'8- COSTO COMBUST'!E14</f>
        <v>305.59899190082655</v>
      </c>
      <c r="F16" s="696">
        <f t="shared" ref="F16:L16" si="6">+E16</f>
        <v>305.59899190082655</v>
      </c>
      <c r="G16" s="696">
        <f t="shared" si="6"/>
        <v>305.59899190082655</v>
      </c>
      <c r="H16" s="696">
        <f t="shared" si="6"/>
        <v>305.59899190082655</v>
      </c>
      <c r="I16" s="696">
        <f t="shared" si="6"/>
        <v>305.59899190082655</v>
      </c>
      <c r="J16" s="696">
        <f t="shared" si="6"/>
        <v>305.59899190082655</v>
      </c>
      <c r="K16" s="696">
        <f t="shared" si="6"/>
        <v>305.59899190082655</v>
      </c>
      <c r="L16" s="696">
        <f t="shared" si="6"/>
        <v>305.59899190082655</v>
      </c>
    </row>
    <row r="17" spans="1:12" ht="14.55" customHeight="1" x14ac:dyDescent="0.3">
      <c r="A17" s="99" t="s">
        <v>231</v>
      </c>
      <c r="B17" s="99" t="s">
        <v>235</v>
      </c>
      <c r="C17" s="99" t="s">
        <v>233</v>
      </c>
      <c r="D17" s="696">
        <f>+'8- COSTO COMBUST'!D15*0.21</f>
        <v>2.7089999999999999E-2</v>
      </c>
      <c r="E17" s="696">
        <f>+'8- COSTO COMBUST'!C15*0.21</f>
        <v>0</v>
      </c>
      <c r="F17" s="696">
        <f>+'8- COSTO COMBUST'!E15*0.21</f>
        <v>2.7089999999999999E-2</v>
      </c>
      <c r="G17" s="696">
        <f>+'8- COSTO COMBUST'!F15*0.21</f>
        <v>2.7089999999999999E-2</v>
      </c>
      <c r="H17" s="696">
        <f>+'8- COSTO COMBUST'!G15*0.21</f>
        <v>2.7089999999999999E-2</v>
      </c>
      <c r="I17" s="696">
        <f>+'8- COSTO COMBUST'!H15*0.21</f>
        <v>2.7089999999999999E-2</v>
      </c>
      <c r="J17" s="696">
        <f>+'8- COSTO COMBUST'!I15*0.21</f>
        <v>2.7089999999999999E-2</v>
      </c>
      <c r="K17" s="696">
        <f>+'8- COSTO COMBUST'!J15*0.21</f>
        <v>2.7089999999999999E-2</v>
      </c>
      <c r="L17" s="696">
        <f>+'8- COSTO COMBUST'!K15*0.21</f>
        <v>2.7089999999999999E-2</v>
      </c>
    </row>
    <row r="18" spans="1:12" ht="14.55" customHeight="1" x14ac:dyDescent="0.3">
      <c r="A18" s="99" t="s">
        <v>231</v>
      </c>
      <c r="B18" s="99" t="s">
        <v>236</v>
      </c>
      <c r="C18" s="99" t="s">
        <v>237</v>
      </c>
      <c r="D18" s="696">
        <f>+'8- COSTO COMBUST'!B16</f>
        <v>0.63276149999999998</v>
      </c>
      <c r="E18" s="696">
        <f>+'8- COSTO COMBUST'!E16</f>
        <v>0.51478548800000001</v>
      </c>
      <c r="F18" s="696">
        <f>+'8- COSTO COMBUST'!F16</f>
        <v>0.48390863000000001</v>
      </c>
      <c r="G18" s="696">
        <f>+'8- COSTO COMBUST'!G16</f>
        <v>0.37991354999999999</v>
      </c>
      <c r="H18" s="696">
        <f>+'8- COSTO COMBUST'!H16</f>
        <v>0.33488895000000002</v>
      </c>
      <c r="I18" s="696">
        <f>+'8- COSTO COMBUST'!I16</f>
        <v>0.42428740500000001</v>
      </c>
      <c r="J18" s="696">
        <f>+'8- COSTO COMBUST'!J16</f>
        <v>0.43341033000000001</v>
      </c>
      <c r="K18" s="696">
        <f>+'8- COSTO COMBUST'!K16</f>
        <v>0.41255866000000002</v>
      </c>
      <c r="L18" s="696">
        <f>+'8- COSTO COMBUST'!L16</f>
        <v>0.4125586707978296</v>
      </c>
    </row>
    <row r="19" spans="1:12" ht="14.55" customHeight="1" x14ac:dyDescent="0.3">
      <c r="A19" s="99" t="s">
        <v>231</v>
      </c>
      <c r="B19" s="99" t="s">
        <v>238</v>
      </c>
      <c r="C19" s="99" t="s">
        <v>222</v>
      </c>
      <c r="D19" s="696">
        <f>(+D15+D17)*D18</f>
        <v>195.58478025409474</v>
      </c>
      <c r="E19" s="696">
        <f t="shared" ref="E19:L19" si="7">(+E15*0.1+E16*0.9+E17)*E18</f>
        <v>157.49661204984281</v>
      </c>
      <c r="F19" s="696">
        <f t="shared" si="7"/>
        <v>148.06306686969015</v>
      </c>
      <c r="G19" s="696">
        <f t="shared" si="7"/>
        <v>116.24336056654201</v>
      </c>
      <c r="H19" s="696">
        <f t="shared" si="7"/>
        <v>102.46704010583635</v>
      </c>
      <c r="I19" s="696">
        <f t="shared" si="7"/>
        <v>129.82057050415139</v>
      </c>
      <c r="J19" s="696">
        <f t="shared" si="7"/>
        <v>132.61194096250046</v>
      </c>
      <c r="K19" s="696">
        <f t="shared" si="7"/>
        <v>126.23188898955938</v>
      </c>
      <c r="L19" s="696">
        <f t="shared" si="7"/>
        <v>126.23189229340574</v>
      </c>
    </row>
    <row r="20" spans="1:12" ht="14.55" customHeight="1" x14ac:dyDescent="0.3">
      <c r="A20" s="99" t="s">
        <v>231</v>
      </c>
      <c r="B20" s="99" t="s">
        <v>239</v>
      </c>
      <c r="C20" s="99" t="s">
        <v>222</v>
      </c>
      <c r="D20" s="696">
        <f>+'1-COSTO X KM'!B5</f>
        <v>21.787509402499996</v>
      </c>
      <c r="E20" s="696">
        <f>+'1-COSTO X KM'!C5</f>
        <v>21.787509402499996</v>
      </c>
      <c r="F20" s="696">
        <f t="shared" ref="F20:L20" si="8">+E20</f>
        <v>21.787509402499996</v>
      </c>
      <c r="G20" s="696">
        <f t="shared" si="8"/>
        <v>21.787509402499996</v>
      </c>
      <c r="H20" s="696">
        <f t="shared" si="8"/>
        <v>21.787509402499996</v>
      </c>
      <c r="I20" s="696">
        <f t="shared" si="8"/>
        <v>21.787509402499996</v>
      </c>
      <c r="J20" s="696">
        <f t="shared" si="8"/>
        <v>21.787509402499996</v>
      </c>
      <c r="K20" s="696">
        <f t="shared" si="8"/>
        <v>21.787509402499996</v>
      </c>
      <c r="L20" s="696">
        <f t="shared" si="8"/>
        <v>21.787509402499996</v>
      </c>
    </row>
    <row r="21" spans="1:12" ht="14.55" customHeight="1" x14ac:dyDescent="0.3">
      <c r="A21" s="99" t="s">
        <v>231</v>
      </c>
      <c r="B21" s="99" t="s">
        <v>240</v>
      </c>
      <c r="C21" s="99" t="s">
        <v>222</v>
      </c>
      <c r="D21" s="696">
        <f>+'1-COSTO X KM'!B6</f>
        <v>79.139001460000003</v>
      </c>
      <c r="E21" s="696">
        <f>+'1-COSTO X KM'!C6</f>
        <v>79.139001460000003</v>
      </c>
      <c r="F21" s="696">
        <f>+'1-COSTO X KM'!D6</f>
        <v>79.139001460000003</v>
      </c>
      <c r="G21" s="696">
        <f>+'1-COSTO X KM'!E6</f>
        <v>79.139001460000003</v>
      </c>
      <c r="H21" s="696">
        <f>+'1-COSTO X KM'!F6</f>
        <v>79.139001460000003</v>
      </c>
      <c r="I21" s="696">
        <f t="shared" ref="I21:L21" si="9">+H21</f>
        <v>79.139001460000003</v>
      </c>
      <c r="J21" s="696">
        <f t="shared" si="9"/>
        <v>79.139001460000003</v>
      </c>
      <c r="K21" s="696">
        <f t="shared" si="9"/>
        <v>79.139001460000003</v>
      </c>
      <c r="L21" s="696">
        <f t="shared" si="9"/>
        <v>79.139001460000003</v>
      </c>
    </row>
    <row r="22" spans="1:12" ht="14.55" customHeight="1" x14ac:dyDescent="0.3">
      <c r="A22" s="99" t="s">
        <v>231</v>
      </c>
      <c r="B22" s="99" t="s">
        <v>241</v>
      </c>
      <c r="C22" s="99" t="s">
        <v>222</v>
      </c>
      <c r="D22" s="696">
        <f>+'1-COSTO X KM'!B8</f>
        <v>256.9585771440195</v>
      </c>
      <c r="E22" s="696">
        <f>+'1-COSTO X KM'!C8</f>
        <v>236.57636572259148</v>
      </c>
      <c r="F22" s="696">
        <f>+'1-COSTO X KM'!D8</f>
        <v>179.3195444980089</v>
      </c>
      <c r="G22" s="696">
        <f>+'1-COSTO X KM'!E8</f>
        <v>331.63573358236016</v>
      </c>
      <c r="H22" s="696">
        <f>+'1-COSTO X KM'!F8</f>
        <v>157.16111190376316</v>
      </c>
      <c r="I22" s="696">
        <f>+'1-COSTO X KM'!G8</f>
        <v>211.81001132639665</v>
      </c>
      <c r="J22" s="696">
        <f>+'1-COSTO X KM'!H8</f>
        <v>155.52701473125188</v>
      </c>
      <c r="K22" s="696">
        <f>+'1-COSTO X KM'!I8</f>
        <v>197.02862663307926</v>
      </c>
      <c r="L22" s="696">
        <f>+'1-COSTO X KM'!J8</f>
        <v>183.05809700212174</v>
      </c>
    </row>
    <row r="23" spans="1:12" ht="14.55" customHeight="1" x14ac:dyDescent="0.3">
      <c r="A23" s="99" t="s">
        <v>231</v>
      </c>
      <c r="B23" s="99" t="s">
        <v>147</v>
      </c>
      <c r="C23" s="99" t="s">
        <v>222</v>
      </c>
      <c r="D23" s="696">
        <f>+'1-COSTO X KM'!B7</f>
        <v>54.825193499999997</v>
      </c>
      <c r="E23" s="696">
        <f>+'1-COSTO X KM'!C7</f>
        <v>54.825193499999997</v>
      </c>
      <c r="F23" s="696">
        <f>+'1-COSTO X KM'!D7</f>
        <v>54.825193499999997</v>
      </c>
      <c r="G23" s="696">
        <f t="shared" ref="G23:L23" si="10">+F23</f>
        <v>54.825193499999997</v>
      </c>
      <c r="H23" s="696">
        <f t="shared" si="10"/>
        <v>54.825193499999997</v>
      </c>
      <c r="I23" s="696">
        <f t="shared" si="10"/>
        <v>54.825193499999997</v>
      </c>
      <c r="J23" s="696">
        <f t="shared" si="10"/>
        <v>54.825193499999997</v>
      </c>
      <c r="K23" s="696">
        <f t="shared" si="10"/>
        <v>54.825193499999997</v>
      </c>
      <c r="L23" s="696">
        <f t="shared" si="10"/>
        <v>54.825193499999997</v>
      </c>
    </row>
    <row r="24" spans="1:12" ht="14.55" customHeight="1" x14ac:dyDescent="0.3">
      <c r="A24" s="99" t="s">
        <v>231</v>
      </c>
      <c r="B24" s="99" t="s">
        <v>242</v>
      </c>
      <c r="C24" s="99" t="s">
        <v>222</v>
      </c>
      <c r="D24" s="99">
        <v>0</v>
      </c>
      <c r="E24" s="99">
        <v>0</v>
      </c>
      <c r="F24" s="99">
        <v>0</v>
      </c>
      <c r="G24" s="99">
        <v>0.14000000000000001</v>
      </c>
      <c r="H24" s="99">
        <v>0.01</v>
      </c>
      <c r="I24" s="99">
        <v>0</v>
      </c>
      <c r="J24" s="99">
        <v>0</v>
      </c>
      <c r="K24" s="99">
        <v>0</v>
      </c>
      <c r="L24" s="99">
        <v>0</v>
      </c>
    </row>
    <row r="25" spans="1:12" ht="14.55" customHeight="1" x14ac:dyDescent="0.3">
      <c r="A25" s="99" t="s">
        <v>231</v>
      </c>
      <c r="B25" s="99" t="s">
        <v>178</v>
      </c>
      <c r="C25" s="99" t="s">
        <v>222</v>
      </c>
      <c r="D25" s="696">
        <f>+'1-COSTO X KM'!B41</f>
        <v>1.3108240474837773</v>
      </c>
      <c r="E25" s="696">
        <f>+'1-COSTO X KM'!C41</f>
        <v>0.97205067722248206</v>
      </c>
      <c r="F25" s="696">
        <f>+'1-COSTO X KM'!D41</f>
        <v>0.27563327448614627</v>
      </c>
      <c r="G25" s="696">
        <f>+'1-COSTO X KM'!E41</f>
        <v>0.34992700117027697</v>
      </c>
      <c r="H25" s="696">
        <f>+'1-COSTO X KM'!F41</f>
        <v>2.4129491009657129</v>
      </c>
      <c r="I25" s="696">
        <f>+'1-COSTO X KM'!G41</f>
        <v>1.4658826921267269</v>
      </c>
      <c r="J25" s="696">
        <f>+'1-COSTO X KM'!H41</f>
        <v>0.92048563757199819</v>
      </c>
      <c r="K25" s="696">
        <f>+'1-COSTO X KM'!I41</f>
        <v>1.8768010819579026</v>
      </c>
      <c r="L25" s="696">
        <f>+'1-COSTO X KM'!J41</f>
        <v>2.8832177544742765</v>
      </c>
    </row>
    <row r="26" spans="1:12" ht="14.55" customHeight="1" x14ac:dyDescent="0.3">
      <c r="A26" s="99" t="s">
        <v>231</v>
      </c>
      <c r="B26" s="99" t="s">
        <v>243</v>
      </c>
      <c r="C26" s="99" t="s">
        <v>222</v>
      </c>
      <c r="D26" s="696">
        <f>+'1-COSTO X KM'!B14</f>
        <v>207.38516681406799</v>
      </c>
      <c r="E26" s="696">
        <f>+'1-COSTO X KM'!C14</f>
        <v>190.93516789730356</v>
      </c>
      <c r="F26" s="696">
        <f>+'1-COSTO X KM'!D14</f>
        <v>144.72454689807498</v>
      </c>
      <c r="G26" s="696">
        <f>+'1-COSTO X KM'!E14</f>
        <v>104.32364239794161</v>
      </c>
      <c r="H26" s="696">
        <f>+'1-COSTO X KM'!F14</f>
        <v>126.84100204438303</v>
      </c>
      <c r="I26" s="696">
        <f>+'1-COSTO X KM'!G14</f>
        <v>170.94683127543442</v>
      </c>
      <c r="J26" s="696">
        <f>+'1-COSTO X KM'!H14</f>
        <v>125.52216101374596</v>
      </c>
      <c r="K26" s="696">
        <f>+'1-COSTO X KM'!I14</f>
        <v>178.69631828792876</v>
      </c>
      <c r="L26" s="696">
        <f>+'1-COSTO X KM'!J14</f>
        <v>166.02566097154983</v>
      </c>
    </row>
    <row r="27" spans="1:12" ht="14.55" customHeight="1" x14ac:dyDescent="0.3">
      <c r="A27" s="99" t="s">
        <v>231</v>
      </c>
      <c r="B27" s="99" t="s">
        <v>244</v>
      </c>
      <c r="C27" s="99" t="s">
        <v>222</v>
      </c>
      <c r="D27" s="696">
        <f>+'1-COSTO X KM'!B44</f>
        <v>109.12255904925969</v>
      </c>
      <c r="E27" s="696">
        <f>+'1-COSTO X KM'!C44</f>
        <v>97.325425866123908</v>
      </c>
      <c r="F27" s="696">
        <f>+'1-COSTO X KM'!D44</f>
        <v>78.286689016573661</v>
      </c>
      <c r="G27" s="696">
        <f>+'1-COSTO X KM'!E44</f>
        <v>65.77494261871459</v>
      </c>
      <c r="H27" s="696">
        <f>+'1-COSTO X KM'!F44</f>
        <v>66.417528190849239</v>
      </c>
      <c r="I27" s="696">
        <f>+'1-COSTO X KM'!G44</f>
        <v>86.399850407026207</v>
      </c>
      <c r="J27" s="696">
        <f>+'1-COSTO X KM'!H44</f>
        <v>69.349054704152763</v>
      </c>
      <c r="K27" s="696">
        <f>+'1-COSTO X KM'!I44</f>
        <v>87.268445654484907</v>
      </c>
      <c r="L27" s="696">
        <f>+'1-COSTO X KM'!J44</f>
        <v>82.687213925231205</v>
      </c>
    </row>
    <row r="28" spans="1:12" ht="14.55" customHeight="1" x14ac:dyDescent="0.3">
      <c r="A28" s="99" t="s">
        <v>231</v>
      </c>
      <c r="B28" s="99" t="s">
        <v>175</v>
      </c>
      <c r="C28" s="99" t="s">
        <v>222</v>
      </c>
      <c r="D28" s="696">
        <f>+'1-COSTO X KM'!B38</f>
        <v>8.4174350654711585</v>
      </c>
      <c r="E28" s="696">
        <f>+'1-COSTO X KM'!C38</f>
        <v>7.7497556945879058</v>
      </c>
      <c r="F28" s="696">
        <f>+'1-COSTO X KM'!D38</f>
        <v>5.8741398654922703</v>
      </c>
      <c r="G28" s="696">
        <f>+'1-COSTO X KM'!E38</f>
        <v>3.8719298741194144</v>
      </c>
      <c r="H28" s="696">
        <f>+'1-COSTO X KM'!F38</f>
        <v>5.1482751382364675</v>
      </c>
      <c r="I28" s="696">
        <f>+'1-COSTO X KM'!G38</f>
        <v>6.9384608070793483</v>
      </c>
      <c r="J28" s="696">
        <f>+'1-COSTO X KM'!H38</f>
        <v>5.0947454721199925</v>
      </c>
      <c r="K28" s="696">
        <f>+'1-COSTO X KM'!I38</f>
        <v>7.494722010355602</v>
      </c>
      <c r="L28" s="696">
        <f>+'1-COSTO X KM'!J38</f>
        <v>6.9633005732237683</v>
      </c>
    </row>
    <row r="29" spans="1:12" ht="14.55" customHeight="1" x14ac:dyDescent="0.3">
      <c r="A29" s="99" t="s">
        <v>231</v>
      </c>
      <c r="B29" s="99" t="s">
        <v>245</v>
      </c>
      <c r="C29" s="99" t="s">
        <v>222</v>
      </c>
      <c r="D29" s="696">
        <f>+'1-COSTO X KM'!B29+'1-COSTO X KM'!B30</f>
        <v>7.2935859789906266</v>
      </c>
      <c r="E29" s="696">
        <f>+'1-COSTO X KM'!C29+'1-COSTO X KM'!C30</f>
        <v>6.7150514420375007</v>
      </c>
      <c r="F29" s="696">
        <f>+'1-COSTO X KM'!D29+'1-COSTO X KM'!D30</f>
        <v>5.0898574005436874</v>
      </c>
      <c r="G29" s="696">
        <f>+'1-COSTO X KM'!E29+'1-COSTO X KM'!E30</f>
        <v>4.6645124497987336</v>
      </c>
      <c r="H29" s="696">
        <f>+'1-COSTO X KM'!F29+'1-COSTO X KM'!F30</f>
        <v>4.4609060921963568</v>
      </c>
      <c r="I29" s="696">
        <f>+'1-COSTO X KM'!G29+'1-COSTO X KM'!G30</f>
        <v>6.0120761330111057</v>
      </c>
      <c r="J29" s="696">
        <f>+'1-COSTO X KM'!H29+'1-COSTO X KM'!H30</f>
        <v>4.4145234092043957</v>
      </c>
      <c r="K29" s="696">
        <f>+'1-COSTO X KM'!I29+'1-COSTO X KM'!I30</f>
        <v>5.6206040903913905</v>
      </c>
      <c r="L29" s="696">
        <f>+'1-COSTO X KM'!J29+'1-COSTO X KM'!J30</f>
        <v>5.2220690280985149</v>
      </c>
    </row>
    <row r="30" spans="1:12" ht="14.55" customHeight="1" x14ac:dyDescent="0.3">
      <c r="A30" s="99" t="s">
        <v>231</v>
      </c>
      <c r="B30" s="99" t="s">
        <v>246</v>
      </c>
      <c r="C30" s="99" t="s">
        <v>222</v>
      </c>
      <c r="D30" s="696">
        <f>+'1-COSTO X KM'!B27</f>
        <v>2.4351580306774792</v>
      </c>
      <c r="E30" s="696">
        <f>+'1-COSTO X KM'!C27</f>
        <v>2.2419988593529983</v>
      </c>
      <c r="F30" s="696">
        <f>+'1-COSTO X KM'!D27</f>
        <v>1.6993845221870512</v>
      </c>
      <c r="G30" s="696">
        <f>+'1-COSTO X KM'!E27</f>
        <v>1.2011513393391442</v>
      </c>
      <c r="H30" s="696">
        <f>+'1-COSTO X KM'!F27</f>
        <v>1.3275736931410445</v>
      </c>
      <c r="I30" s="696">
        <f>+'1-COSTO X KM'!G27</f>
        <v>1.7892046930351206</v>
      </c>
      <c r="J30" s="696">
        <f>+'1-COSTO X KM'!H27</f>
        <v>1.3137701230849193</v>
      </c>
      <c r="K30" s="696">
        <f>+'1-COSTO X KM'!I27</f>
        <v>1.9326464711366504</v>
      </c>
      <c r="L30" s="696">
        <f>+'1-COSTO X KM'!J27</f>
        <v>1.7956100655514784</v>
      </c>
    </row>
    <row r="31" spans="1:12" ht="14.55" customHeight="1" x14ac:dyDescent="0.3">
      <c r="A31" s="99" t="s">
        <v>231</v>
      </c>
      <c r="B31" s="99" t="s">
        <v>247</v>
      </c>
      <c r="C31" s="99" t="s">
        <v>222</v>
      </c>
      <c r="D31" s="696">
        <f>+'1-COSTO X KM'!B11</f>
        <v>309.33279199375124</v>
      </c>
      <c r="E31" s="696">
        <f>+'1-COSTO X KM'!C11</f>
        <v>219.07400419307453</v>
      </c>
      <c r="F31" s="696">
        <f>+'1-COSTO X KM'!D11</f>
        <v>166.0531495750576</v>
      </c>
      <c r="G31" s="696">
        <f>+'1-COSTO X KM'!E11</f>
        <v>153.40363395385731</v>
      </c>
      <c r="H31" s="696">
        <f>+'1-COSTO X KM'!F11</f>
        <v>145.5340392225217</v>
      </c>
      <c r="I31" s="696">
        <f>+'1-COSTO X KM'!G11</f>
        <v>196.13991096585306</v>
      </c>
      <c r="J31" s="696">
        <f>+'1-COSTO X KM'!H11</f>
        <v>144.02083561180089</v>
      </c>
      <c r="K31" s="696">
        <f>+'1-COSTO X KM'!I11</f>
        <v>182.4468359661621</v>
      </c>
      <c r="L31" s="696">
        <f>+'1-COSTO X KM'!J11</f>
        <v>169.51024410387186</v>
      </c>
    </row>
    <row r="32" spans="1:12" ht="14.55" customHeight="1" x14ac:dyDescent="0.3">
      <c r="A32" s="99" t="s">
        <v>231</v>
      </c>
      <c r="B32" s="99" t="s">
        <v>248</v>
      </c>
      <c r="C32" s="99" t="s">
        <v>249</v>
      </c>
      <c r="D32" s="106">
        <f>+'7-CALCULO TARIFARIO'!B17</f>
        <v>84303992</v>
      </c>
      <c r="E32" s="106">
        <f>+'7-CALCULO TARIFARIO'!C17</f>
        <v>363792391</v>
      </c>
      <c r="F32" s="106">
        <f>+'7-CALCULO TARIFARIO'!D17</f>
        <v>40092293</v>
      </c>
      <c r="G32" s="106">
        <f>+'7-CALCULO TARIFARIO'!E17</f>
        <v>52633692</v>
      </c>
      <c r="H32" s="106">
        <f>+'7-CALCULO TARIFARIO'!F17</f>
        <v>15265925</v>
      </c>
      <c r="I32" s="106">
        <f>+'7-CALCULO TARIFARIO'!G17</f>
        <v>271391239</v>
      </c>
      <c r="J32" s="106">
        <f>+'7-CALCULO TARIFARIO'!H17</f>
        <v>84037585</v>
      </c>
      <c r="K32" s="106">
        <f>+'7-CALCULO TARIFARIO'!I17</f>
        <v>153090289</v>
      </c>
      <c r="L32" s="106">
        <f>+'7-CALCULO TARIFARIO'!J17</f>
        <v>62602247</v>
      </c>
    </row>
    <row r="33" spans="1:14" ht="14.55" customHeight="1" x14ac:dyDescent="0.3">
      <c r="A33" s="99" t="s">
        <v>231</v>
      </c>
      <c r="B33" s="99" t="s">
        <v>227</v>
      </c>
      <c r="C33" s="101"/>
      <c r="D33" s="698">
        <f>+'7-CALCULO TARIFARIO'!B6</f>
        <v>30</v>
      </c>
      <c r="E33" s="698">
        <f>+'7-CALCULO TARIFARIO'!C6</f>
        <v>96</v>
      </c>
      <c r="F33" s="698">
        <f>+'7-CALCULO TARIFARIO'!D6</f>
        <v>3</v>
      </c>
      <c r="G33" s="698">
        <f>+'7-CALCULO TARIFARIO'!E6</f>
        <v>5</v>
      </c>
      <c r="H33" s="698">
        <f>+'7-CALCULO TARIFARIO'!F6</f>
        <v>10</v>
      </c>
      <c r="I33" s="698">
        <f>+'7-CALCULO TARIFARIO'!G6</f>
        <v>108</v>
      </c>
      <c r="J33" s="698">
        <f>+'7-CALCULO TARIFARIO'!H6</f>
        <v>21</v>
      </c>
      <c r="K33" s="698">
        <f>+'7-CALCULO TARIFARIO'!I6</f>
        <v>78</v>
      </c>
      <c r="L33" s="698">
        <f>+'7-CALCULO TARIFARIO'!J6</f>
        <v>49</v>
      </c>
    </row>
    <row r="34" spans="1:14" ht="14.55" customHeight="1" x14ac:dyDescent="0.3">
      <c r="A34" s="99" t="s">
        <v>231</v>
      </c>
      <c r="B34" s="99" t="s">
        <v>225</v>
      </c>
      <c r="C34" s="99" t="s">
        <v>226</v>
      </c>
      <c r="D34" s="104">
        <v>0.105</v>
      </c>
      <c r="E34" s="104">
        <f>+D34</f>
        <v>0.105</v>
      </c>
      <c r="F34" s="104">
        <f t="shared" ref="F34:L34" si="11">+E34</f>
        <v>0.105</v>
      </c>
      <c r="G34" s="104">
        <f t="shared" si="11"/>
        <v>0.105</v>
      </c>
      <c r="H34" s="104">
        <f t="shared" si="11"/>
        <v>0.105</v>
      </c>
      <c r="I34" s="104">
        <f t="shared" si="11"/>
        <v>0.105</v>
      </c>
      <c r="J34" s="104">
        <f t="shared" si="11"/>
        <v>0.105</v>
      </c>
      <c r="K34" s="104">
        <f t="shared" si="11"/>
        <v>0.105</v>
      </c>
      <c r="L34" s="104">
        <f t="shared" si="11"/>
        <v>0.105</v>
      </c>
    </row>
    <row r="35" spans="1:14" ht="14.55" customHeight="1" x14ac:dyDescent="0.3">
      <c r="A35" s="99" t="s">
        <v>231</v>
      </c>
      <c r="B35" s="99" t="s">
        <v>230</v>
      </c>
      <c r="C35" s="99" t="s">
        <v>226</v>
      </c>
      <c r="D35" s="104">
        <v>0.21</v>
      </c>
      <c r="E35" s="104">
        <f>+D35</f>
        <v>0.21</v>
      </c>
      <c r="F35" s="104">
        <f t="shared" ref="F35:L35" si="12">+E35</f>
        <v>0.21</v>
      </c>
      <c r="G35" s="104">
        <f t="shared" si="12"/>
        <v>0.21</v>
      </c>
      <c r="H35" s="104">
        <f t="shared" si="12"/>
        <v>0.21</v>
      </c>
      <c r="I35" s="104">
        <f t="shared" si="12"/>
        <v>0.21</v>
      </c>
      <c r="J35" s="104">
        <f t="shared" si="12"/>
        <v>0.21</v>
      </c>
      <c r="K35" s="104">
        <f t="shared" si="12"/>
        <v>0.21</v>
      </c>
      <c r="L35" s="104">
        <f t="shared" si="12"/>
        <v>0.21</v>
      </c>
    </row>
    <row r="36" spans="1:14" ht="14.55" customHeight="1" x14ac:dyDescent="0.3">
      <c r="A36" s="99" t="s">
        <v>231</v>
      </c>
      <c r="B36" s="99" t="s">
        <v>231</v>
      </c>
      <c r="C36" s="103"/>
      <c r="D36" s="694">
        <f t="shared" ref="D36:L36" si="13">(SUM(D20:D30)*0.21+D31*0.105+D19)*D32/D33</f>
        <v>1082706265.2703912</v>
      </c>
      <c r="E36" s="694">
        <f t="shared" si="13"/>
        <v>1239681543.835757</v>
      </c>
      <c r="F36" s="694">
        <f t="shared" si="13"/>
        <v>3814289379.5504422</v>
      </c>
      <c r="G36" s="694">
        <f t="shared" si="13"/>
        <v>2869279257.442565</v>
      </c>
      <c r="H36" s="694">
        <f t="shared" si="13"/>
        <v>346306951.16634369</v>
      </c>
      <c r="I36" s="694">
        <f t="shared" si="13"/>
        <v>716294973.27875841</v>
      </c>
      <c r="J36" s="694">
        <f t="shared" si="13"/>
        <v>1026426079.9203283</v>
      </c>
      <c r="K36" s="694">
        <f t="shared" si="13"/>
        <v>547355641.82499266</v>
      </c>
      <c r="L36" s="694">
        <f t="shared" si="13"/>
        <v>346167060.44879389</v>
      </c>
    </row>
    <row r="37" spans="1:14" x14ac:dyDescent="0.3">
      <c r="C37" s="110"/>
      <c r="D37" s="108"/>
    </row>
    <row r="38" spans="1:14" x14ac:dyDescent="0.3">
      <c r="B38" s="107"/>
      <c r="C38" s="107"/>
      <c r="E38" s="108"/>
      <c r="F38" s="108"/>
      <c r="G38" s="107"/>
      <c r="H38" s="107"/>
      <c r="I38" s="107"/>
      <c r="J38" s="107"/>
      <c r="K38" s="107"/>
      <c r="L38" s="107"/>
      <c r="M38" s="107"/>
      <c r="N38" s="107"/>
    </row>
    <row r="39" spans="1:14" x14ac:dyDescent="0.3">
      <c r="B39" s="108"/>
      <c r="C39" s="113"/>
      <c r="D39" s="108"/>
      <c r="E39" s="108"/>
      <c r="F39" s="108"/>
      <c r="G39" s="108"/>
      <c r="H39" s="108"/>
      <c r="I39" s="108"/>
      <c r="J39" s="108"/>
      <c r="K39" s="108"/>
      <c r="L39" s="108"/>
      <c r="M39" s="107"/>
      <c r="N39" s="107"/>
    </row>
    <row r="40" spans="1:14" x14ac:dyDescent="0.3">
      <c r="D40" s="108"/>
      <c r="E40" s="108"/>
      <c r="F40" s="108"/>
      <c r="G40" s="108"/>
      <c r="H40" s="108"/>
      <c r="I40" s="108"/>
      <c r="J40" s="108"/>
      <c r="K40" s="108"/>
      <c r="L40" s="108"/>
      <c r="M40" s="107"/>
      <c r="N40" s="107"/>
    </row>
    <row r="41" spans="1:14" x14ac:dyDescent="0.3">
      <c r="B41" s="108"/>
      <c r="D41" s="108"/>
      <c r="E41" s="108"/>
      <c r="F41" s="108"/>
      <c r="G41" s="108"/>
      <c r="H41" s="108"/>
      <c r="I41" s="108"/>
      <c r="J41" s="108"/>
      <c r="K41" s="108"/>
      <c r="L41" s="108"/>
      <c r="M41" s="107"/>
      <c r="N41" s="107"/>
    </row>
    <row r="42" spans="1:14" x14ac:dyDescent="0.3">
      <c r="B42" s="108"/>
      <c r="D42" s="615"/>
      <c r="E42" s="115"/>
      <c r="F42" s="115"/>
      <c r="G42" s="115"/>
      <c r="H42" s="115"/>
      <c r="I42" s="115"/>
      <c r="J42" s="115"/>
      <c r="K42" s="115"/>
      <c r="L42" s="115"/>
      <c r="M42" s="107"/>
      <c r="N42" s="107"/>
    </row>
    <row r="43" spans="1:14" x14ac:dyDescent="0.3">
      <c r="B43" s="107"/>
      <c r="D43" s="615"/>
      <c r="E43" s="108"/>
      <c r="F43" s="115"/>
      <c r="G43" s="108"/>
      <c r="H43" s="108"/>
      <c r="I43" s="108"/>
      <c r="J43" s="108"/>
      <c r="K43" s="108"/>
      <c r="L43" s="108"/>
    </row>
    <row r="44" spans="1:14" x14ac:dyDescent="0.3">
      <c r="B44" s="107"/>
      <c r="C44" s="109"/>
      <c r="D44" s="615"/>
      <c r="E44" s="108"/>
      <c r="F44" s="115"/>
      <c r="G44" s="108"/>
      <c r="H44" s="108"/>
      <c r="I44" s="108"/>
      <c r="J44" s="108"/>
      <c r="K44" s="108"/>
      <c r="L44" s="108"/>
    </row>
    <row r="45" spans="1:14" x14ac:dyDescent="0.3">
      <c r="B45" s="107"/>
      <c r="C45" s="109"/>
      <c r="D45" s="615"/>
      <c r="E45" s="112"/>
      <c r="F45" s="115"/>
      <c r="G45" s="112"/>
      <c r="H45" s="112"/>
      <c r="I45" s="112"/>
      <c r="J45" s="112"/>
      <c r="K45" s="112"/>
      <c r="L45" s="112"/>
    </row>
    <row r="46" spans="1:14" x14ac:dyDescent="0.3">
      <c r="B46" s="107"/>
      <c r="C46" s="109"/>
      <c r="D46" s="615"/>
      <c r="F46" s="115"/>
      <c r="G46" s="111"/>
      <c r="H46" s="111"/>
      <c r="I46" s="111"/>
      <c r="J46" s="111"/>
      <c r="K46" s="111"/>
      <c r="L46" s="111"/>
    </row>
    <row r="47" spans="1:14" x14ac:dyDescent="0.3">
      <c r="D47" s="615"/>
      <c r="F47" s="115"/>
    </row>
    <row r="48" spans="1:14" x14ac:dyDescent="0.3">
      <c r="D48" s="615"/>
      <c r="F48" s="115"/>
    </row>
    <row r="49" spans="4:6" x14ac:dyDescent="0.3">
      <c r="D49" s="615"/>
      <c r="F49" s="115"/>
    </row>
    <row r="50" spans="4:6" x14ac:dyDescent="0.3">
      <c r="D50" s="615"/>
      <c r="F50" s="115"/>
    </row>
    <row r="51" spans="4:6" x14ac:dyDescent="0.3">
      <c r="D51" s="615"/>
      <c r="F51" s="115"/>
    </row>
    <row r="52" spans="4:6" x14ac:dyDescent="0.3">
      <c r="F52" s="115"/>
    </row>
  </sheetData>
  <pageMargins left="0.7" right="0.7" top="0.75" bottom="0.75" header="0.3" footer="0.3"/>
  <pageSetup paperSize="9" orientation="portrait" horizontalDpi="0" verticalDpi="0"/>
  <ignoredErrors>
    <ignoredError sqref="E22:L22 E14:L1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C912-C763-D54C-B5C3-EA826E862E5E}">
  <dimension ref="A1:L4"/>
  <sheetViews>
    <sheetView workbookViewId="0">
      <selection activeCell="C3" sqref="C3"/>
    </sheetView>
  </sheetViews>
  <sheetFormatPr baseColWidth="10" defaultRowHeight="13.2" x14ac:dyDescent="0.25"/>
  <cols>
    <col min="1" max="1" width="22.77734375" customWidth="1"/>
  </cols>
  <sheetData>
    <row r="1" spans="1:12" ht="27.45" customHeight="1" x14ac:dyDescent="0.25">
      <c r="A1" s="730" t="s">
        <v>9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</row>
    <row r="2" spans="1:12" ht="35.25" customHeight="1" x14ac:dyDescent="0.25">
      <c r="A2" s="10" t="s">
        <v>10</v>
      </c>
      <c r="B2" s="2" t="s">
        <v>11</v>
      </c>
      <c r="C2" s="2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3" t="s">
        <v>17</v>
      </c>
      <c r="I2" s="11" t="s">
        <v>18</v>
      </c>
      <c r="J2" s="11" t="s">
        <v>19</v>
      </c>
      <c r="K2" s="4"/>
      <c r="L2" s="4"/>
    </row>
    <row r="3" spans="1:12" ht="17.25" customHeight="1" x14ac:dyDescent="0.25">
      <c r="A3" s="78" t="s">
        <v>20</v>
      </c>
      <c r="B3" s="137">
        <f>+'1-COSTO X KM'!B45*0.006</f>
        <v>21.824511809851938</v>
      </c>
      <c r="C3" s="137">
        <f>+'1-COSTO X KM'!C45*0.006</f>
        <v>19.465085173224786</v>
      </c>
      <c r="D3" s="137">
        <f>+'1-COSTO X KM'!D45*0.006</f>
        <v>15.657337803314734</v>
      </c>
      <c r="E3" s="137">
        <f>+'1-COSTO X KM'!E45*0.006</f>
        <v>13.15498852374292</v>
      </c>
      <c r="F3" s="137">
        <f>+'1-COSTO X KM'!F45*0.006</f>
        <v>13.283505638169849</v>
      </c>
      <c r="G3" s="137">
        <f>+'1-COSTO X KM'!G45*0.006</f>
        <v>17.279970081405242</v>
      </c>
      <c r="H3" s="137">
        <f>+'1-COSTO X KM'!H45*0.006</f>
        <v>13.869810940830554</v>
      </c>
      <c r="I3" s="137">
        <f>+'1-COSTO X KM'!I45*0.006</f>
        <v>17.453689130896983</v>
      </c>
      <c r="J3" s="137">
        <f>+'1-COSTO X KM'!J45*0.006</f>
        <v>16.537442785046242</v>
      </c>
      <c r="K3" s="1"/>
      <c r="L3" s="1"/>
    </row>
    <row r="4" spans="1:12" ht="17.25" customHeight="1" x14ac:dyDescent="0.25">
      <c r="A4" s="12" t="s">
        <v>21</v>
      </c>
      <c r="B4" s="137">
        <f>+B3</f>
        <v>21.824511809851938</v>
      </c>
      <c r="C4" s="137">
        <f t="shared" ref="C4:J4" si="0">+C3</f>
        <v>19.465085173224786</v>
      </c>
      <c r="D4" s="137">
        <f t="shared" si="0"/>
        <v>15.657337803314734</v>
      </c>
      <c r="E4" s="137">
        <f t="shared" si="0"/>
        <v>13.15498852374292</v>
      </c>
      <c r="F4" s="137">
        <f t="shared" si="0"/>
        <v>13.283505638169849</v>
      </c>
      <c r="G4" s="137">
        <f t="shared" si="0"/>
        <v>17.279970081405242</v>
      </c>
      <c r="H4" s="137">
        <f t="shared" si="0"/>
        <v>13.869810940830554</v>
      </c>
      <c r="I4" s="137">
        <f t="shared" si="0"/>
        <v>17.453689130896983</v>
      </c>
      <c r="J4" s="137">
        <f t="shared" si="0"/>
        <v>16.537442785046242</v>
      </c>
      <c r="K4" s="1"/>
      <c r="L4" s="1"/>
    </row>
  </sheetData>
  <mergeCells count="1">
    <mergeCell ref="A1:L1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5376-46B1-7D44-8E28-E389137359DF}">
  <dimension ref="A1:K44"/>
  <sheetViews>
    <sheetView topLeftCell="A15" zoomScale="110" zoomScaleNormal="110" workbookViewId="0">
      <selection activeCell="J33" sqref="J33"/>
    </sheetView>
  </sheetViews>
  <sheetFormatPr baseColWidth="10" defaultRowHeight="13.2" x14ac:dyDescent="0.25"/>
  <cols>
    <col min="1" max="1" width="20.5546875" customWidth="1"/>
    <col min="2" max="10" width="13.44140625" customWidth="1"/>
    <col min="11" max="11" width="15.44140625" style="74" customWidth="1"/>
  </cols>
  <sheetData>
    <row r="1" spans="1:11" ht="17.55" customHeight="1" x14ac:dyDescent="0.25">
      <c r="A1" s="735" t="s">
        <v>354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</row>
    <row r="2" spans="1:11" ht="17.55" customHeight="1" x14ac:dyDescent="0.25">
      <c r="A2" s="80"/>
      <c r="B2" s="577"/>
      <c r="C2" s="577"/>
      <c r="D2" s="80"/>
      <c r="E2" s="80"/>
      <c r="F2" s="80"/>
      <c r="G2" s="80"/>
      <c r="H2" s="80"/>
      <c r="I2" s="80"/>
      <c r="J2" s="80"/>
      <c r="K2" s="412"/>
    </row>
    <row r="3" spans="1:11" ht="10.199999999999999" customHeight="1" x14ac:dyDescent="0.25">
      <c r="A3" s="733" t="s">
        <v>139</v>
      </c>
      <c r="B3" s="734"/>
      <c r="C3" s="734"/>
      <c r="D3" s="734"/>
      <c r="E3" s="734"/>
      <c r="F3" s="734"/>
      <c r="G3" s="734"/>
      <c r="H3" s="734"/>
      <c r="I3" s="734"/>
      <c r="J3" s="734"/>
      <c r="K3" s="28"/>
    </row>
    <row r="4" spans="1:11" ht="10.199999999999999" customHeight="1" x14ac:dyDescent="0.25">
      <c r="A4" s="13" t="s">
        <v>22</v>
      </c>
      <c r="B4" s="617"/>
      <c r="C4" s="482"/>
      <c r="D4" s="482"/>
      <c r="E4" s="482"/>
      <c r="F4" s="482"/>
      <c r="G4" s="482"/>
      <c r="H4" s="482"/>
      <c r="I4" s="483"/>
      <c r="J4" s="6"/>
      <c r="K4" s="28"/>
    </row>
    <row r="5" spans="1:11" ht="10.199999999999999" customHeight="1" x14ac:dyDescent="0.25">
      <c r="A5" s="14" t="s">
        <v>23</v>
      </c>
      <c r="B5" s="15" t="s">
        <v>24</v>
      </c>
      <c r="C5" s="15" t="s">
        <v>25</v>
      </c>
      <c r="D5" s="15" t="s">
        <v>26</v>
      </c>
      <c r="E5" s="15" t="s">
        <v>27</v>
      </c>
      <c r="F5" s="15" t="s">
        <v>28</v>
      </c>
      <c r="G5" s="15" t="s">
        <v>29</v>
      </c>
      <c r="H5" s="15" t="s">
        <v>30</v>
      </c>
      <c r="I5" s="15" t="s">
        <v>31</v>
      </c>
      <c r="J5" s="15" t="s">
        <v>32</v>
      </c>
      <c r="K5" s="15" t="s">
        <v>134</v>
      </c>
    </row>
    <row r="6" spans="1:11" ht="10.199999999999999" customHeight="1" x14ac:dyDescent="0.25">
      <c r="A6" s="5"/>
      <c r="B6" s="539">
        <v>30</v>
      </c>
      <c r="C6" s="539">
        <v>96</v>
      </c>
      <c r="D6" s="539">
        <v>3</v>
      </c>
      <c r="E6" s="539">
        <v>5</v>
      </c>
      <c r="F6" s="539">
        <v>10</v>
      </c>
      <c r="G6" s="539">
        <v>108</v>
      </c>
      <c r="H6" s="539">
        <v>21</v>
      </c>
      <c r="I6" s="539">
        <v>78</v>
      </c>
      <c r="J6" s="539">
        <v>49</v>
      </c>
      <c r="K6" s="72">
        <f>SUM(B6:J6)</f>
        <v>400</v>
      </c>
    </row>
    <row r="7" spans="1:11" ht="10.199999999999999" customHeight="1" x14ac:dyDescent="0.25">
      <c r="A7" s="1"/>
      <c r="K7" s="28"/>
    </row>
    <row r="8" spans="1:11" ht="10.199999999999999" customHeight="1" x14ac:dyDescent="0.25">
      <c r="A8" s="733" t="s">
        <v>138</v>
      </c>
      <c r="B8" s="734"/>
      <c r="C8" s="734"/>
      <c r="D8" s="734"/>
      <c r="E8" s="734"/>
      <c r="F8" s="734"/>
      <c r="G8" s="734"/>
      <c r="H8" s="734"/>
      <c r="I8" s="734"/>
      <c r="J8" s="734"/>
      <c r="K8" s="28"/>
    </row>
    <row r="9" spans="1:11" ht="10.199999999999999" customHeight="1" x14ac:dyDescent="0.25">
      <c r="A9" s="13" t="s">
        <v>22</v>
      </c>
      <c r="B9" s="502"/>
      <c r="C9" s="503"/>
      <c r="D9" s="503"/>
      <c r="E9" s="503"/>
      <c r="F9" s="503"/>
      <c r="G9" s="503"/>
      <c r="H9" s="503"/>
      <c r="I9" s="504"/>
      <c r="J9" s="505"/>
      <c r="K9" s="28"/>
    </row>
    <row r="10" spans="1:11" ht="10.199999999999999" customHeight="1" x14ac:dyDescent="0.25">
      <c r="A10" s="14" t="s">
        <v>23</v>
      </c>
      <c r="B10" s="15" t="s">
        <v>24</v>
      </c>
      <c r="C10" s="15" t="s">
        <v>25</v>
      </c>
      <c r="D10" s="15" t="s">
        <v>26</v>
      </c>
      <c r="E10" s="15" t="s">
        <v>27</v>
      </c>
      <c r="F10" s="15" t="s">
        <v>28</v>
      </c>
      <c r="G10" s="15" t="s">
        <v>29</v>
      </c>
      <c r="H10" s="15" t="s">
        <v>30</v>
      </c>
      <c r="I10" s="15" t="s">
        <v>31</v>
      </c>
      <c r="J10" s="15" t="s">
        <v>32</v>
      </c>
      <c r="K10" s="28"/>
    </row>
    <row r="11" spans="1:11" ht="10.199999999999999" customHeight="1" x14ac:dyDescent="0.25">
      <c r="A11" s="7" t="s">
        <v>33</v>
      </c>
      <c r="B11" s="540">
        <v>290382450</v>
      </c>
      <c r="C11" s="540">
        <v>989385618</v>
      </c>
      <c r="D11" s="540">
        <v>70045340</v>
      </c>
      <c r="E11" s="540">
        <v>45626084</v>
      </c>
      <c r="F11" s="540">
        <v>17163704</v>
      </c>
      <c r="G11" s="540">
        <v>755337038</v>
      </c>
      <c r="H11" s="540">
        <v>145045944</v>
      </c>
      <c r="I11" s="540">
        <v>477430257</v>
      </c>
      <c r="J11" s="540">
        <v>156461382</v>
      </c>
      <c r="K11" s="15" t="s">
        <v>134</v>
      </c>
    </row>
    <row r="12" spans="1:11" ht="10.199999999999999" customHeight="1" x14ac:dyDescent="0.25">
      <c r="A12" s="14" t="s">
        <v>34</v>
      </c>
      <c r="B12" s="408">
        <f>+B11/12</f>
        <v>24198537.5</v>
      </c>
      <c r="C12" s="408">
        <f t="shared" ref="C12:J12" si="0">+C11/12</f>
        <v>82448801.5</v>
      </c>
      <c r="D12" s="408">
        <f t="shared" si="0"/>
        <v>5837111.666666667</v>
      </c>
      <c r="E12" s="408">
        <f t="shared" si="0"/>
        <v>3802173.6666666665</v>
      </c>
      <c r="F12" s="408">
        <f t="shared" si="0"/>
        <v>1430308.6666666667</v>
      </c>
      <c r="G12" s="408">
        <f t="shared" si="0"/>
        <v>62944753.166666664</v>
      </c>
      <c r="H12" s="408">
        <f t="shared" si="0"/>
        <v>12087162</v>
      </c>
      <c r="I12" s="408">
        <f t="shared" si="0"/>
        <v>39785854.75</v>
      </c>
      <c r="J12" s="408">
        <f t="shared" si="0"/>
        <v>13038448.5</v>
      </c>
      <c r="K12" s="408">
        <f>SUM(B12:J12)</f>
        <v>245573151.41666669</v>
      </c>
    </row>
    <row r="13" spans="1:11" ht="10.199999999999999" customHeight="1" x14ac:dyDescent="0.25"/>
    <row r="14" spans="1:11" ht="10.199999999999999" customHeight="1" x14ac:dyDescent="0.25">
      <c r="A14" s="733" t="s">
        <v>137</v>
      </c>
      <c r="B14" s="734"/>
      <c r="C14" s="734"/>
      <c r="D14" s="734"/>
      <c r="E14" s="734"/>
      <c r="F14" s="734"/>
      <c r="G14" s="734"/>
      <c r="H14" s="734"/>
      <c r="I14" s="734"/>
      <c r="J14" s="734"/>
      <c r="K14" s="28"/>
    </row>
    <row r="15" spans="1:11" ht="10.199999999999999" customHeight="1" x14ac:dyDescent="0.25">
      <c r="A15" s="13" t="s">
        <v>22</v>
      </c>
      <c r="B15" s="617"/>
      <c r="C15" s="617"/>
      <c r="D15" s="617"/>
      <c r="E15" s="617"/>
      <c r="F15" s="617"/>
      <c r="G15" s="617"/>
      <c r="H15" s="617"/>
      <c r="I15" s="618"/>
      <c r="J15" s="616"/>
      <c r="K15" s="28"/>
    </row>
    <row r="16" spans="1:11" ht="10.199999999999999" customHeight="1" x14ac:dyDescent="0.25">
      <c r="A16" s="14" t="s">
        <v>23</v>
      </c>
      <c r="B16" s="15" t="s">
        <v>24</v>
      </c>
      <c r="C16" s="15" t="s">
        <v>25</v>
      </c>
      <c r="D16" s="15" t="s">
        <v>26</v>
      </c>
      <c r="E16" s="15" t="s">
        <v>27</v>
      </c>
      <c r="F16" s="15" t="s">
        <v>28</v>
      </c>
      <c r="G16" s="15" t="s">
        <v>29</v>
      </c>
      <c r="H16" s="15" t="s">
        <v>30</v>
      </c>
      <c r="I16" s="15" t="s">
        <v>31</v>
      </c>
      <c r="J16" s="15" t="s">
        <v>32</v>
      </c>
      <c r="K16" s="15" t="s">
        <v>134</v>
      </c>
    </row>
    <row r="17" spans="1:11" ht="10.199999999999999" customHeight="1" x14ac:dyDescent="0.25">
      <c r="A17" s="8" t="s">
        <v>35</v>
      </c>
      <c r="B17" s="541">
        <v>84303992</v>
      </c>
      <c r="C17" s="541">
        <v>363792391</v>
      </c>
      <c r="D17" s="541">
        <v>40092293</v>
      </c>
      <c r="E17" s="541">
        <v>52633692</v>
      </c>
      <c r="F17" s="541">
        <v>15265925</v>
      </c>
      <c r="G17" s="541">
        <v>271391239</v>
      </c>
      <c r="H17" s="541">
        <v>84037585</v>
      </c>
      <c r="I17" s="541">
        <v>153090289</v>
      </c>
      <c r="J17" s="541">
        <v>62602247</v>
      </c>
      <c r="K17" s="409">
        <f>SUM(B17:J17)</f>
        <v>1127209653</v>
      </c>
    </row>
    <row r="18" spans="1:11" ht="10.199999999999999" customHeight="1" x14ac:dyDescent="0.25">
      <c r="A18" s="14" t="s">
        <v>36</v>
      </c>
      <c r="B18" s="408">
        <f>+B17/12</f>
        <v>7025332.666666667</v>
      </c>
      <c r="C18" s="408">
        <f t="shared" ref="C18:J18" si="1">+C17/12</f>
        <v>30316032.583333332</v>
      </c>
      <c r="D18" s="408">
        <f t="shared" si="1"/>
        <v>3341024.4166666665</v>
      </c>
      <c r="E18" s="408">
        <f t="shared" si="1"/>
        <v>4386141</v>
      </c>
      <c r="F18" s="408">
        <f t="shared" si="1"/>
        <v>1272160.4166666667</v>
      </c>
      <c r="G18" s="408">
        <f t="shared" si="1"/>
        <v>22615936.583333332</v>
      </c>
      <c r="H18" s="408">
        <f t="shared" si="1"/>
        <v>7003132.083333333</v>
      </c>
      <c r="I18" s="408">
        <f t="shared" si="1"/>
        <v>12757524.083333334</v>
      </c>
      <c r="J18" s="408">
        <f t="shared" si="1"/>
        <v>5216853.916666667</v>
      </c>
      <c r="K18" s="411">
        <f>SUM(B18:J18)</f>
        <v>93934137.749999985</v>
      </c>
    </row>
    <row r="19" spans="1:11" ht="10.199999999999999" customHeight="1" x14ac:dyDescent="0.25">
      <c r="A19" s="1"/>
      <c r="B19" s="71"/>
      <c r="C19" s="71"/>
      <c r="D19" s="71"/>
      <c r="E19" s="71"/>
      <c r="F19" s="71"/>
      <c r="G19" s="71"/>
      <c r="H19" s="71"/>
      <c r="I19" s="71"/>
      <c r="J19" s="71"/>
      <c r="K19" s="28"/>
    </row>
    <row r="20" spans="1:11" ht="10.199999999999999" customHeight="1" x14ac:dyDescent="0.25">
      <c r="A20" s="731" t="s">
        <v>136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28"/>
    </row>
    <row r="21" spans="1:11" ht="10.199999999999999" customHeight="1" x14ac:dyDescent="0.25">
      <c r="A21" s="13" t="s">
        <v>22</v>
      </c>
      <c r="B21" s="617"/>
      <c r="C21" s="617"/>
      <c r="D21" s="617"/>
      <c r="E21" s="617"/>
      <c r="F21" s="617"/>
      <c r="G21" s="617"/>
      <c r="H21" s="617"/>
      <c r="I21" s="618"/>
      <c r="J21" s="618"/>
      <c r="K21" s="28"/>
    </row>
    <row r="22" spans="1:11" ht="10.199999999999999" customHeight="1" x14ac:dyDescent="0.25">
      <c r="A22" s="14" t="s">
        <v>23</v>
      </c>
      <c r="B22" s="15" t="s">
        <v>24</v>
      </c>
      <c r="C22" s="15" t="s">
        <v>25</v>
      </c>
      <c r="D22" s="15" t="s">
        <v>26</v>
      </c>
      <c r="E22" s="15" t="s">
        <v>27</v>
      </c>
      <c r="F22" s="15" t="s">
        <v>28</v>
      </c>
      <c r="G22" s="15" t="s">
        <v>29</v>
      </c>
      <c r="H22" s="15" t="s">
        <v>30</v>
      </c>
      <c r="I22" s="15" t="s">
        <v>31</v>
      </c>
      <c r="J22" s="15" t="s">
        <v>32</v>
      </c>
      <c r="K22" s="15" t="s">
        <v>134</v>
      </c>
    </row>
    <row r="23" spans="1:11" ht="10.199999999999999" customHeight="1" x14ac:dyDescent="0.25">
      <c r="A23" s="7" t="s">
        <v>33</v>
      </c>
      <c r="B23" s="542">
        <v>132177340882</v>
      </c>
      <c r="C23" s="542">
        <v>394284812368</v>
      </c>
      <c r="D23" s="542">
        <v>34259382336</v>
      </c>
      <c r="E23" s="542">
        <v>54114661209</v>
      </c>
      <c r="F23" s="542">
        <v>31238787108</v>
      </c>
      <c r="G23" s="542">
        <v>310624476947</v>
      </c>
      <c r="H23" s="542">
        <v>78952479202</v>
      </c>
      <c r="I23" s="542">
        <v>183113802602</v>
      </c>
      <c r="J23" s="542">
        <v>63682555003</v>
      </c>
      <c r="K23" s="481">
        <f>SUM(B23:J23)</f>
        <v>1282448297657</v>
      </c>
    </row>
    <row r="24" spans="1:11" ht="10.199999999999999" customHeight="1" x14ac:dyDescent="0.25">
      <c r="A24" s="16" t="s">
        <v>37</v>
      </c>
      <c r="B24" s="410">
        <f>+B23/12</f>
        <v>11014778406.833334</v>
      </c>
      <c r="C24" s="410">
        <f t="shared" ref="C24:J24" si="2">+C23/12</f>
        <v>32857067697.333332</v>
      </c>
      <c r="D24" s="410">
        <f t="shared" si="2"/>
        <v>2854948528</v>
      </c>
      <c r="E24" s="410">
        <f t="shared" si="2"/>
        <v>4509555100.75</v>
      </c>
      <c r="F24" s="410">
        <f t="shared" si="2"/>
        <v>2603232259</v>
      </c>
      <c r="G24" s="410">
        <f t="shared" si="2"/>
        <v>25885373078.916668</v>
      </c>
      <c r="H24" s="410">
        <f t="shared" si="2"/>
        <v>6579373266.833333</v>
      </c>
      <c r="I24" s="410">
        <f t="shared" si="2"/>
        <v>15259483550.166666</v>
      </c>
      <c r="J24" s="410">
        <f t="shared" si="2"/>
        <v>5306879583.583333</v>
      </c>
      <c r="K24" s="410">
        <f>SUM(B24:J24)</f>
        <v>106870691471.41666</v>
      </c>
    </row>
    <row r="25" spans="1:11" ht="10.199999999999999" customHeight="1" x14ac:dyDescent="0.25">
      <c r="A25" s="9" t="s">
        <v>38</v>
      </c>
      <c r="B25" s="168">
        <f t="shared" ref="B25:J25" si="3">+B24/B12</f>
        <v>455.18364102927023</v>
      </c>
      <c r="C25" s="168">
        <f t="shared" si="3"/>
        <v>398.51480069523308</v>
      </c>
      <c r="D25" s="168">
        <f t="shared" si="3"/>
        <v>489.1029486900913</v>
      </c>
      <c r="E25" s="168">
        <f t="shared" si="3"/>
        <v>1186.0465870575263</v>
      </c>
      <c r="F25" s="168">
        <f t="shared" si="3"/>
        <v>1820.049280038854</v>
      </c>
      <c r="G25" s="168">
        <f t="shared" si="3"/>
        <v>411.23956766303843</v>
      </c>
      <c r="H25" s="168">
        <f t="shared" si="3"/>
        <v>544.32738361853126</v>
      </c>
      <c r="I25" s="168">
        <f t="shared" si="3"/>
        <v>383.54042274702334</v>
      </c>
      <c r="J25" s="168">
        <f t="shared" si="3"/>
        <v>407.01772021290208</v>
      </c>
      <c r="K25" s="28"/>
    </row>
    <row r="26" spans="1:11" ht="10.199999999999999" customHeight="1" x14ac:dyDescent="0.25">
      <c r="A26" s="1"/>
      <c r="B26" s="46"/>
      <c r="C26" s="71"/>
      <c r="D26" s="71"/>
      <c r="E26" s="71"/>
      <c r="F26" s="71"/>
      <c r="G26" s="71"/>
      <c r="H26" s="71"/>
      <c r="I26" s="71"/>
      <c r="J26" s="71"/>
      <c r="K26" s="28"/>
    </row>
    <row r="27" spans="1:11" ht="10.199999999999999" customHeight="1" x14ac:dyDescent="0.25">
      <c r="A27" s="733" t="s">
        <v>140</v>
      </c>
      <c r="B27" s="734"/>
      <c r="C27" s="734"/>
      <c r="D27" s="734"/>
      <c r="E27" s="734"/>
      <c r="F27" s="734"/>
      <c r="G27" s="734"/>
      <c r="H27" s="734"/>
      <c r="I27" s="734"/>
      <c r="J27" s="734"/>
      <c r="K27" s="28"/>
    </row>
    <row r="28" spans="1:11" ht="10.199999999999999" customHeight="1" x14ac:dyDescent="0.25">
      <c r="A28" s="13" t="s">
        <v>22</v>
      </c>
      <c r="B28" s="482"/>
      <c r="C28" s="482"/>
      <c r="D28" s="482"/>
      <c r="E28" s="482"/>
      <c r="F28" s="482"/>
      <c r="G28" s="520"/>
      <c r="H28" s="520"/>
      <c r="I28" s="483"/>
      <c r="J28" s="6"/>
      <c r="K28" s="28"/>
    </row>
    <row r="29" spans="1:11" ht="10.199999999999999" customHeight="1" x14ac:dyDescent="0.25">
      <c r="A29" s="14" t="s">
        <v>23</v>
      </c>
      <c r="B29" s="15" t="s">
        <v>24</v>
      </c>
      <c r="C29" s="15" t="s">
        <v>25</v>
      </c>
      <c r="D29" s="15" t="s">
        <v>26</v>
      </c>
      <c r="E29" s="15" t="s">
        <v>27</v>
      </c>
      <c r="F29" s="15" t="s">
        <v>28</v>
      </c>
      <c r="G29" s="15" t="s">
        <v>29</v>
      </c>
      <c r="H29" s="15" t="s">
        <v>30</v>
      </c>
      <c r="I29" s="15" t="s">
        <v>31</v>
      </c>
      <c r="J29" s="15" t="s">
        <v>32</v>
      </c>
      <c r="K29" s="15" t="s">
        <v>134</v>
      </c>
    </row>
    <row r="30" spans="1:11" ht="10.199999999999999" customHeight="1" x14ac:dyDescent="0.25">
      <c r="A30" s="16" t="s">
        <v>39</v>
      </c>
      <c r="B30" s="543">
        <v>1553</v>
      </c>
      <c r="C30" s="543">
        <v>6170</v>
      </c>
      <c r="D30" s="543">
        <v>515.40510935551595</v>
      </c>
      <c r="E30" s="543">
        <v>446</v>
      </c>
      <c r="F30" s="543">
        <v>171.99998699970533</v>
      </c>
      <c r="G30" s="543">
        <v>4120.9989522545793</v>
      </c>
      <c r="H30" s="543">
        <v>937.00001200744805</v>
      </c>
      <c r="I30" s="543">
        <v>2511</v>
      </c>
      <c r="J30" s="543">
        <v>954.00050523403695</v>
      </c>
      <c r="K30" s="45">
        <f>SUM(B30:J30)</f>
        <v>17379.404565851284</v>
      </c>
    </row>
    <row r="31" spans="1:11" ht="10.199999999999999" customHeight="1" x14ac:dyDescent="0.25">
      <c r="A31" s="1"/>
      <c r="B31" s="395"/>
      <c r="C31" s="395"/>
      <c r="D31" s="395"/>
      <c r="E31" s="395"/>
      <c r="F31" s="395"/>
      <c r="G31" s="398"/>
      <c r="H31" s="398"/>
      <c r="I31" s="398"/>
      <c r="J31" s="398"/>
      <c r="K31" s="28"/>
    </row>
    <row r="32" spans="1:11" ht="10.199999999999999" customHeight="1" x14ac:dyDescent="0.25">
      <c r="A32" s="17" t="s">
        <v>62</v>
      </c>
      <c r="B32" s="75">
        <f>+B18/B30</f>
        <v>4523.7171066752526</v>
      </c>
      <c r="C32" s="75">
        <f t="shared" ref="C32:J32" si="4">+C18/C30</f>
        <v>4913.4574689357105</v>
      </c>
      <c r="D32" s="75">
        <f t="shared" si="4"/>
        <v>6482.3269230769229</v>
      </c>
      <c r="E32" s="75">
        <f t="shared" si="4"/>
        <v>9834.3968609865478</v>
      </c>
      <c r="F32" s="75">
        <f t="shared" si="4"/>
        <v>7396.2820512820517</v>
      </c>
      <c r="G32" s="75">
        <f t="shared" si="4"/>
        <v>5487.9743589743593</v>
      </c>
      <c r="H32" s="75">
        <f t="shared" si="4"/>
        <v>7473.9935897435898</v>
      </c>
      <c r="I32" s="75">
        <f t="shared" si="4"/>
        <v>5080.6547524226735</v>
      </c>
      <c r="J32" s="75">
        <f t="shared" si="4"/>
        <v>5468.3974358974365</v>
      </c>
      <c r="K32" s="28"/>
    </row>
    <row r="33" spans="1:11" ht="22.8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413"/>
    </row>
    <row r="34" spans="1:11" ht="13.8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1" x14ac:dyDescent="0.25">
      <c r="K35"/>
    </row>
    <row r="36" spans="1:11" x14ac:dyDescent="0.25">
      <c r="C36" s="691"/>
      <c r="K36"/>
    </row>
    <row r="37" spans="1:11" x14ac:dyDescent="0.25">
      <c r="G37" s="20"/>
      <c r="H37" s="20"/>
      <c r="I37" s="20"/>
      <c r="J37" s="20"/>
      <c r="K37"/>
    </row>
    <row r="38" spans="1:11" x14ac:dyDescent="0.25">
      <c r="G38" s="414"/>
      <c r="H38" s="414"/>
      <c r="I38" s="414"/>
      <c r="J38" s="414"/>
      <c r="K38"/>
    </row>
    <row r="39" spans="1:11" x14ac:dyDescent="0.25">
      <c r="K39"/>
    </row>
    <row r="40" spans="1:11" x14ac:dyDescent="0.25">
      <c r="K40"/>
    </row>
    <row r="41" spans="1:11" x14ac:dyDescent="0.25">
      <c r="K41"/>
    </row>
    <row r="42" spans="1:11" x14ac:dyDescent="0.25">
      <c r="K42"/>
    </row>
    <row r="43" spans="1:11" x14ac:dyDescent="0.25">
      <c r="B43" s="20"/>
      <c r="C43" s="20"/>
      <c r="D43" s="20"/>
      <c r="E43" s="20"/>
      <c r="F43" s="20"/>
      <c r="G43" s="20"/>
      <c r="H43" s="20"/>
      <c r="I43" s="20"/>
      <c r="J43" s="20"/>
    </row>
    <row r="44" spans="1:11" x14ac:dyDescent="0.25">
      <c r="B44" s="399"/>
      <c r="C44" s="399"/>
      <c r="D44" s="399"/>
      <c r="E44" s="399"/>
      <c r="F44" s="399"/>
      <c r="G44" s="399"/>
      <c r="H44" s="399"/>
      <c r="I44" s="399"/>
      <c r="J44" s="399"/>
    </row>
  </sheetData>
  <mergeCells count="6">
    <mergeCell ref="A20:J20"/>
    <mergeCell ref="A27:J27"/>
    <mergeCell ref="A1:K1"/>
    <mergeCell ref="A3:J3"/>
    <mergeCell ref="A8:J8"/>
    <mergeCell ref="A14:J1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048E-11AE-A947-8E12-4F469E4DB908}">
  <dimension ref="A1:P39"/>
  <sheetViews>
    <sheetView topLeftCell="A16" workbookViewId="0">
      <selection activeCell="F36" sqref="F36"/>
    </sheetView>
  </sheetViews>
  <sheetFormatPr baseColWidth="10" defaultRowHeight="13.2" x14ac:dyDescent="0.25"/>
  <cols>
    <col min="1" max="1" width="35.44140625" style="20" customWidth="1"/>
    <col min="2" max="2" width="12.88671875" style="20" customWidth="1"/>
    <col min="4" max="4" width="11.5546875" style="18"/>
    <col min="5" max="7" width="11.5546875" customWidth="1"/>
    <col min="8" max="12" width="11.77734375" customWidth="1"/>
    <col min="13" max="14" width="11.5546875" style="603"/>
  </cols>
  <sheetData>
    <row r="1" spans="1:15" ht="32.549999999999997" customHeight="1" thickBot="1" x14ac:dyDescent="0.3">
      <c r="A1" s="226" t="s">
        <v>296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580"/>
      <c r="N1" s="580"/>
      <c r="O1" s="226"/>
    </row>
    <row r="2" spans="1:15" ht="16.8" customHeight="1" thickBot="1" x14ac:dyDescent="0.3">
      <c r="A2" s="191" t="s">
        <v>203</v>
      </c>
      <c r="B2" s="555"/>
      <c r="C2" s="94"/>
      <c r="D2" s="94"/>
      <c r="E2" s="94"/>
      <c r="F2" s="94"/>
      <c r="G2" s="94"/>
      <c r="H2" s="94"/>
      <c r="I2" s="94"/>
      <c r="J2" s="94"/>
      <c r="K2" s="94"/>
      <c r="L2" s="95"/>
      <c r="M2" s="595"/>
      <c r="N2" s="595"/>
      <c r="O2" s="81"/>
    </row>
    <row r="3" spans="1:15" ht="15" customHeight="1" x14ac:dyDescent="0.25">
      <c r="A3" s="93"/>
      <c r="B3" s="556"/>
      <c r="C3" s="348" t="s">
        <v>113</v>
      </c>
      <c r="D3" s="94"/>
      <c r="E3" s="348" t="s">
        <v>114</v>
      </c>
      <c r="F3" s="348" t="s">
        <v>115</v>
      </c>
      <c r="G3" s="348" t="s">
        <v>116</v>
      </c>
      <c r="H3" s="348" t="s">
        <v>117</v>
      </c>
      <c r="I3" s="348" t="s">
        <v>118</v>
      </c>
      <c r="J3" s="348" t="s">
        <v>119</v>
      </c>
      <c r="K3" s="348" t="s">
        <v>120</v>
      </c>
      <c r="L3" s="349" t="s">
        <v>121</v>
      </c>
      <c r="M3" s="596"/>
      <c r="N3" s="596"/>
      <c r="O3" s="596"/>
    </row>
    <row r="4" spans="1:15" ht="13.95" customHeight="1" x14ac:dyDescent="0.25">
      <c r="A4" s="51" t="s">
        <v>40</v>
      </c>
      <c r="B4" s="699">
        <v>1548.8520000000001</v>
      </c>
      <c r="C4" s="346"/>
      <c r="D4" s="699">
        <v>1548.8520000000001</v>
      </c>
      <c r="E4" s="346">
        <v>20</v>
      </c>
      <c r="F4" s="346">
        <f t="shared" ref="F4:L4" si="0">+E4</f>
        <v>20</v>
      </c>
      <c r="G4" s="346">
        <f t="shared" si="0"/>
        <v>20</v>
      </c>
      <c r="H4" s="346">
        <f t="shared" si="0"/>
        <v>20</v>
      </c>
      <c r="I4" s="346">
        <f t="shared" si="0"/>
        <v>20</v>
      </c>
      <c r="J4" s="346">
        <f t="shared" si="0"/>
        <v>20</v>
      </c>
      <c r="K4" s="346">
        <f t="shared" si="0"/>
        <v>20</v>
      </c>
      <c r="L4" s="347">
        <f t="shared" si="0"/>
        <v>20</v>
      </c>
      <c r="M4" s="596"/>
      <c r="N4" s="596"/>
      <c r="O4" s="596"/>
    </row>
    <row r="5" spans="1:15" ht="13.95" customHeight="1" x14ac:dyDescent="0.25">
      <c r="A5" s="52" t="s">
        <v>41</v>
      </c>
      <c r="B5" s="138">
        <v>-1.4999999999999999E-2</v>
      </c>
      <c r="C5" s="139"/>
      <c r="D5" s="56">
        <v>-1.4999999999999999E-2</v>
      </c>
      <c r="E5" s="139"/>
      <c r="F5" s="139"/>
      <c r="G5" s="139"/>
      <c r="H5" s="139"/>
      <c r="I5" s="139"/>
      <c r="J5" s="139"/>
      <c r="K5" s="139"/>
      <c r="L5" s="140"/>
      <c r="M5" s="596"/>
      <c r="N5" s="596"/>
      <c r="O5" s="596"/>
    </row>
    <row r="6" spans="1:15" ht="15" customHeight="1" thickBot="1" x14ac:dyDescent="0.3">
      <c r="A6" s="53" t="s">
        <v>42</v>
      </c>
      <c r="B6" s="566">
        <f>+B4+(B5*B4)</f>
        <v>1525.61922</v>
      </c>
      <c r="C6" s="182"/>
      <c r="D6" s="438">
        <f>+D4+(D5*D4)</f>
        <v>1525.61922</v>
      </c>
      <c r="E6" s="582">
        <f>+D6-E4</f>
        <v>1505.61922</v>
      </c>
      <c r="F6" s="582">
        <f t="shared" ref="F6:L6" si="1">+E6</f>
        <v>1505.61922</v>
      </c>
      <c r="G6" s="582">
        <f t="shared" si="1"/>
        <v>1505.61922</v>
      </c>
      <c r="H6" s="582">
        <f t="shared" si="1"/>
        <v>1505.61922</v>
      </c>
      <c r="I6" s="582">
        <f t="shared" si="1"/>
        <v>1505.61922</v>
      </c>
      <c r="J6" s="582">
        <f t="shared" si="1"/>
        <v>1505.61922</v>
      </c>
      <c r="K6" s="582">
        <f t="shared" si="1"/>
        <v>1505.61922</v>
      </c>
      <c r="L6" s="583">
        <f t="shared" si="1"/>
        <v>1505.61922</v>
      </c>
      <c r="M6" s="596"/>
      <c r="N6" s="596"/>
      <c r="O6" s="596"/>
    </row>
    <row r="7" spans="1:15" ht="13.95" customHeight="1" x14ac:dyDescent="0.25">
      <c r="A7" s="31" t="s">
        <v>43</v>
      </c>
      <c r="B7" s="335">
        <v>12.583500000000001</v>
      </c>
      <c r="C7" s="335"/>
      <c r="D7" s="335">
        <v>12.583500000000001</v>
      </c>
      <c r="E7" s="336">
        <f>+D7</f>
        <v>12.583500000000001</v>
      </c>
      <c r="F7" s="336">
        <f t="shared" ref="F7:L9" si="2">+E7</f>
        <v>12.583500000000001</v>
      </c>
      <c r="G7" s="336">
        <f t="shared" si="2"/>
        <v>12.583500000000001</v>
      </c>
      <c r="H7" s="336">
        <f t="shared" si="2"/>
        <v>12.583500000000001</v>
      </c>
      <c r="I7" s="336">
        <f t="shared" si="2"/>
        <v>12.583500000000001</v>
      </c>
      <c r="J7" s="336">
        <f t="shared" si="2"/>
        <v>12.583500000000001</v>
      </c>
      <c r="K7" s="336">
        <f t="shared" si="2"/>
        <v>12.583500000000001</v>
      </c>
      <c r="L7" s="337">
        <f t="shared" si="2"/>
        <v>12.583500000000001</v>
      </c>
      <c r="M7" s="596"/>
      <c r="N7" s="596"/>
      <c r="O7" s="596"/>
    </row>
    <row r="8" spans="1:15" ht="27" customHeight="1" x14ac:dyDescent="0.25">
      <c r="A8" s="32" t="s">
        <v>44</v>
      </c>
      <c r="B8" s="338">
        <v>172.57169999999999</v>
      </c>
      <c r="C8" s="700"/>
      <c r="D8" s="700">
        <v>172.57169999999999</v>
      </c>
      <c r="E8" s="338">
        <f>+D8</f>
        <v>172.57169999999999</v>
      </c>
      <c r="F8" s="338">
        <f t="shared" ref="F8:L8" si="3">+E8</f>
        <v>172.57169999999999</v>
      </c>
      <c r="G8" s="338">
        <f t="shared" si="3"/>
        <v>172.57169999999999</v>
      </c>
      <c r="H8" s="338">
        <f t="shared" si="3"/>
        <v>172.57169999999999</v>
      </c>
      <c r="I8" s="338">
        <f t="shared" si="3"/>
        <v>172.57169999999999</v>
      </c>
      <c r="J8" s="338">
        <f t="shared" si="3"/>
        <v>172.57169999999999</v>
      </c>
      <c r="K8" s="338">
        <f t="shared" si="3"/>
        <v>172.57169999999999</v>
      </c>
      <c r="L8" s="350">
        <f t="shared" si="3"/>
        <v>172.57169999999999</v>
      </c>
      <c r="M8" s="596"/>
      <c r="N8" s="596"/>
      <c r="O8" s="596"/>
    </row>
    <row r="9" spans="1:15" ht="13.95" customHeight="1" x14ac:dyDescent="0.25">
      <c r="A9" s="32" t="s">
        <v>45</v>
      </c>
      <c r="B9" s="338">
        <v>19.6692</v>
      </c>
      <c r="C9" s="700"/>
      <c r="D9" s="700">
        <v>19.6692</v>
      </c>
      <c r="E9" s="339">
        <f>+D9</f>
        <v>19.6692</v>
      </c>
      <c r="F9" s="339">
        <f t="shared" ref="F9" si="4">+E9</f>
        <v>19.6692</v>
      </c>
      <c r="G9" s="339">
        <f t="shared" si="2"/>
        <v>19.6692</v>
      </c>
      <c r="H9" s="339">
        <f t="shared" si="2"/>
        <v>19.6692</v>
      </c>
      <c r="I9" s="339">
        <f t="shared" si="2"/>
        <v>19.6692</v>
      </c>
      <c r="J9" s="339">
        <f t="shared" si="2"/>
        <v>19.6692</v>
      </c>
      <c r="K9" s="339">
        <f t="shared" si="2"/>
        <v>19.6692</v>
      </c>
      <c r="L9" s="340">
        <f>+K9</f>
        <v>19.6692</v>
      </c>
      <c r="M9" s="596"/>
      <c r="N9" s="596"/>
      <c r="O9" s="596"/>
    </row>
    <row r="10" spans="1:15" ht="13.95" customHeight="1" x14ac:dyDescent="0.25">
      <c r="A10" s="32" t="s">
        <v>493</v>
      </c>
      <c r="B10" s="417">
        <f t="shared" ref="B10:L10" si="5">+(B6-(B8+B9))*0.21/1.21</f>
        <v>231.41276628099175</v>
      </c>
      <c r="C10" s="417"/>
      <c r="D10" s="417">
        <f t="shared" si="5"/>
        <v>231.41276628099175</v>
      </c>
      <c r="E10" s="417">
        <f t="shared" si="5"/>
        <v>227.94169190082647</v>
      </c>
      <c r="F10" s="417">
        <f t="shared" si="5"/>
        <v>227.94169190082647</v>
      </c>
      <c r="G10" s="417">
        <f t="shared" si="5"/>
        <v>227.94169190082647</v>
      </c>
      <c r="H10" s="417">
        <f t="shared" si="5"/>
        <v>227.94169190082647</v>
      </c>
      <c r="I10" s="417">
        <f t="shared" si="5"/>
        <v>227.94169190082647</v>
      </c>
      <c r="J10" s="417">
        <f t="shared" si="5"/>
        <v>227.94169190082647</v>
      </c>
      <c r="K10" s="417">
        <f t="shared" si="5"/>
        <v>227.94169190082647</v>
      </c>
      <c r="L10" s="418">
        <f t="shared" si="5"/>
        <v>227.94169190082647</v>
      </c>
      <c r="M10" s="596"/>
      <c r="N10" s="596"/>
      <c r="O10" s="596"/>
    </row>
    <row r="11" spans="1:15" ht="13.95" customHeight="1" thickBot="1" x14ac:dyDescent="0.3">
      <c r="A11" s="33" t="s">
        <v>46</v>
      </c>
      <c r="B11" s="341">
        <v>28.485099999999999</v>
      </c>
      <c r="C11" s="342"/>
      <c r="D11" s="572">
        <v>28.098299999999998</v>
      </c>
      <c r="E11" s="342">
        <f t="shared" ref="E11:L11" si="6">+(E6-(E10*0.6+SUM(E8:E10)*0.4))*0.0234</f>
        <v>28.098279333520662</v>
      </c>
      <c r="F11" s="342">
        <f t="shared" si="6"/>
        <v>28.098279333520662</v>
      </c>
      <c r="G11" s="342">
        <f t="shared" si="6"/>
        <v>28.098279333520662</v>
      </c>
      <c r="H11" s="342">
        <f t="shared" si="6"/>
        <v>28.098279333520662</v>
      </c>
      <c r="I11" s="342">
        <f t="shared" si="6"/>
        <v>28.098279333520662</v>
      </c>
      <c r="J11" s="342">
        <f t="shared" si="6"/>
        <v>28.098279333520662</v>
      </c>
      <c r="K11" s="342">
        <f t="shared" si="6"/>
        <v>28.098279333520662</v>
      </c>
      <c r="L11" s="351">
        <f t="shared" si="6"/>
        <v>28.098279333520662</v>
      </c>
      <c r="M11" s="596"/>
      <c r="N11" s="596"/>
      <c r="O11" s="596"/>
    </row>
    <row r="12" spans="1:15" ht="15" customHeight="1" thickBot="1" x14ac:dyDescent="0.3">
      <c r="A12" s="54" t="s">
        <v>47</v>
      </c>
      <c r="B12" s="439">
        <f t="shared" ref="B12" si="7">+B6-SUM(B8:B11)</f>
        <v>1073.4804537190084</v>
      </c>
      <c r="C12" s="177"/>
      <c r="D12" s="573">
        <f>+D6-SUM(D8:D11)</f>
        <v>1073.8672537190082</v>
      </c>
      <c r="E12" s="177">
        <f t="shared" ref="E12:L12" si="8">+E6-SUM(E8:E11)</f>
        <v>1057.3383487656529</v>
      </c>
      <c r="F12" s="177">
        <f t="shared" si="8"/>
        <v>1057.3383487656529</v>
      </c>
      <c r="G12" s="177">
        <f t="shared" si="8"/>
        <v>1057.3383487656529</v>
      </c>
      <c r="H12" s="177">
        <f t="shared" si="8"/>
        <v>1057.3383487656529</v>
      </c>
      <c r="I12" s="177">
        <f t="shared" si="8"/>
        <v>1057.3383487656529</v>
      </c>
      <c r="J12" s="177">
        <f t="shared" si="8"/>
        <v>1057.3383487656529</v>
      </c>
      <c r="K12" s="177">
        <f t="shared" si="8"/>
        <v>1057.3383487656529</v>
      </c>
      <c r="L12" s="178">
        <f t="shared" si="8"/>
        <v>1057.3383487656529</v>
      </c>
      <c r="M12" s="596"/>
      <c r="N12" s="596"/>
      <c r="O12" s="596"/>
    </row>
    <row r="13" spans="1:15" ht="13.95" customHeight="1" thickBot="1" x14ac:dyDescent="0.3">
      <c r="A13" s="49" t="s">
        <v>48</v>
      </c>
      <c r="B13" s="180"/>
      <c r="C13" s="179"/>
      <c r="D13" s="179"/>
      <c r="E13" s="180">
        <f t="shared" ref="E13:L13" si="9">+$D$12-E12</f>
        <v>16.528904953355323</v>
      </c>
      <c r="F13" s="180">
        <f t="shared" si="9"/>
        <v>16.528904953355323</v>
      </c>
      <c r="G13" s="180">
        <f t="shared" si="9"/>
        <v>16.528904953355323</v>
      </c>
      <c r="H13" s="180">
        <f t="shared" si="9"/>
        <v>16.528904953355323</v>
      </c>
      <c r="I13" s="180">
        <f t="shared" si="9"/>
        <v>16.528904953355323</v>
      </c>
      <c r="J13" s="180">
        <f t="shared" si="9"/>
        <v>16.528904953355323</v>
      </c>
      <c r="K13" s="180">
        <f t="shared" si="9"/>
        <v>16.528904953355323</v>
      </c>
      <c r="L13" s="181">
        <f t="shared" si="9"/>
        <v>16.528904953355323</v>
      </c>
      <c r="M13" s="596"/>
      <c r="N13" s="596"/>
      <c r="O13" s="596"/>
    </row>
    <row r="14" spans="1:15" ht="13.95" customHeight="1" x14ac:dyDescent="0.25">
      <c r="A14" s="51" t="s">
        <v>49</v>
      </c>
      <c r="B14" s="343">
        <v>-77.657300000000006</v>
      </c>
      <c r="C14" s="344"/>
      <c r="D14" s="574">
        <v>-77.657300000000006</v>
      </c>
      <c r="E14" s="344">
        <f>+D14</f>
        <v>-77.657300000000006</v>
      </c>
      <c r="F14" s="344">
        <f t="shared" ref="F14:L15" si="10">+E14</f>
        <v>-77.657300000000006</v>
      </c>
      <c r="G14" s="344">
        <f t="shared" si="10"/>
        <v>-77.657300000000006</v>
      </c>
      <c r="H14" s="344">
        <f t="shared" si="10"/>
        <v>-77.657300000000006</v>
      </c>
      <c r="I14" s="344">
        <f t="shared" si="10"/>
        <v>-77.657300000000006</v>
      </c>
      <c r="J14" s="344">
        <f t="shared" si="10"/>
        <v>-77.657300000000006</v>
      </c>
      <c r="K14" s="344">
        <f t="shared" si="10"/>
        <v>-77.657300000000006</v>
      </c>
      <c r="L14" s="345">
        <f t="shared" si="10"/>
        <v>-77.657300000000006</v>
      </c>
      <c r="M14" s="596"/>
      <c r="N14" s="596"/>
      <c r="O14" s="596"/>
    </row>
    <row r="15" spans="1:15" ht="13.95" customHeight="1" x14ac:dyDescent="0.25">
      <c r="A15" s="52" t="s">
        <v>50</v>
      </c>
      <c r="B15" s="56">
        <v>0.129</v>
      </c>
      <c r="C15" s="57"/>
      <c r="D15" s="575">
        <v>0.129</v>
      </c>
      <c r="E15" s="57">
        <f>+D15</f>
        <v>0.129</v>
      </c>
      <c r="F15" s="57">
        <f t="shared" si="10"/>
        <v>0.129</v>
      </c>
      <c r="G15" s="57">
        <f t="shared" si="10"/>
        <v>0.129</v>
      </c>
      <c r="H15" s="57">
        <f t="shared" si="10"/>
        <v>0.129</v>
      </c>
      <c r="I15" s="57">
        <f t="shared" si="10"/>
        <v>0.129</v>
      </c>
      <c r="J15" s="57">
        <f t="shared" si="10"/>
        <v>0.129</v>
      </c>
      <c r="K15" s="57">
        <f t="shared" si="10"/>
        <v>0.129</v>
      </c>
      <c r="L15" s="58">
        <f t="shared" si="10"/>
        <v>0.129</v>
      </c>
      <c r="M15" s="596"/>
      <c r="N15" s="596"/>
      <c r="O15" s="596"/>
    </row>
    <row r="16" spans="1:15" ht="13.95" customHeight="1" x14ac:dyDescent="0.25">
      <c r="A16" s="52" t="s">
        <v>51</v>
      </c>
      <c r="B16" s="47">
        <v>0.63276149999999998</v>
      </c>
      <c r="C16" s="47"/>
      <c r="D16" s="48"/>
      <c r="E16" s="47">
        <v>0.51478548800000001</v>
      </c>
      <c r="F16" s="47">
        <v>0.48390863000000001</v>
      </c>
      <c r="G16" s="47">
        <v>0.37991354999999999</v>
      </c>
      <c r="H16" s="47">
        <v>0.33488895000000002</v>
      </c>
      <c r="I16" s="47">
        <v>0.42428740500000001</v>
      </c>
      <c r="J16" s="47">
        <v>0.43341033000000001</v>
      </c>
      <c r="K16" s="47">
        <v>0.41255866000000002</v>
      </c>
      <c r="L16" s="61">
        <v>0.4125586707978296</v>
      </c>
      <c r="M16" s="596"/>
      <c r="N16" s="596"/>
      <c r="O16" s="596"/>
    </row>
    <row r="17" spans="1:16" ht="13.95" customHeight="1" x14ac:dyDescent="0.25">
      <c r="A17" s="52" t="s">
        <v>52</v>
      </c>
      <c r="B17" s="50">
        <v>0.9</v>
      </c>
      <c r="C17" s="50"/>
      <c r="D17" s="50">
        <v>0.9</v>
      </c>
      <c r="E17" s="50">
        <f>+D17</f>
        <v>0.9</v>
      </c>
      <c r="F17" s="50">
        <f t="shared" ref="F17:L17" si="11">+E17</f>
        <v>0.9</v>
      </c>
      <c r="G17" s="50">
        <f t="shared" si="11"/>
        <v>0.9</v>
      </c>
      <c r="H17" s="50">
        <f t="shared" si="11"/>
        <v>0.9</v>
      </c>
      <c r="I17" s="50">
        <f t="shared" si="11"/>
        <v>0.9</v>
      </c>
      <c r="J17" s="50">
        <f t="shared" si="11"/>
        <v>0.9</v>
      </c>
      <c r="K17" s="50">
        <f t="shared" si="11"/>
        <v>0.9</v>
      </c>
      <c r="L17" s="55">
        <f t="shared" si="11"/>
        <v>0.9</v>
      </c>
      <c r="M17" s="596"/>
      <c r="N17" s="596"/>
      <c r="O17" s="596"/>
    </row>
    <row r="18" spans="1:16" ht="15" customHeight="1" x14ac:dyDescent="0.25">
      <c r="A18" s="52" t="s">
        <v>53</v>
      </c>
      <c r="B18" s="563">
        <f>+B12+B11+B9+B8+B14+B15</f>
        <v>1216.6781537190084</v>
      </c>
      <c r="C18" s="169"/>
      <c r="D18" s="440">
        <f>+D12+D11+D9+D8+D14+D15</f>
        <v>1216.6781537190082</v>
      </c>
      <c r="E18" s="169">
        <f>(+E12+E11+E9+E8+E14+E15)*E17+$D$18*(1-E17)</f>
        <v>1201.8021206611568</v>
      </c>
      <c r="F18" s="169">
        <f>(+F12+F11+F9+F8+F14+F15)*F17+$D$18*(1-F17)</f>
        <v>1201.8021206611568</v>
      </c>
      <c r="G18" s="169">
        <f>(+G12+G11+G9+G8+G14+G15)*G17+$D$18*(1-G17)</f>
        <v>1201.8021206611568</v>
      </c>
      <c r="H18" s="169">
        <f t="shared" ref="H18:L18" si="12">(+H12+H11+H9+H8+H14+H15)*H17+$D$18*(1-H17)</f>
        <v>1201.8021206611568</v>
      </c>
      <c r="I18" s="169">
        <f t="shared" si="12"/>
        <v>1201.8021206611568</v>
      </c>
      <c r="J18" s="169">
        <f t="shared" si="12"/>
        <v>1201.8021206611568</v>
      </c>
      <c r="K18" s="169">
        <f t="shared" si="12"/>
        <v>1201.8021206611568</v>
      </c>
      <c r="L18" s="170">
        <f t="shared" si="12"/>
        <v>1201.8021206611568</v>
      </c>
      <c r="M18" s="596"/>
      <c r="N18" s="596"/>
      <c r="O18" s="596"/>
    </row>
    <row r="19" spans="1:16" ht="13.95" customHeight="1" x14ac:dyDescent="0.25">
      <c r="A19" s="52" t="s">
        <v>54</v>
      </c>
      <c r="B19" s="169">
        <f>+B18*'8- COSTO COMBUST'!C16</f>
        <v>0</v>
      </c>
      <c r="D19" s="169"/>
      <c r="E19" s="169">
        <f>+E18*'8- COSTO COMBUST'!E16</f>
        <v>618.67029116398851</v>
      </c>
      <c r="F19" s="169">
        <f>+F18*'8- COSTO COMBUST'!F16</f>
        <v>581.56241774023511</v>
      </c>
      <c r="G19" s="169">
        <f>+G18*'8- COSTO COMBUST'!G16</f>
        <v>456.5809100579084</v>
      </c>
      <c r="H19" s="169">
        <f>+H18*'8- COSTO COMBUST'!H16</f>
        <v>402.47025029598814</v>
      </c>
      <c r="I19" s="169">
        <f>+I18*'8- COSTO COMBUST'!I16</f>
        <v>509.90950309881907</v>
      </c>
      <c r="J19" s="169">
        <f>+J18*'8- COSTO COMBUST'!J16</f>
        <v>520.87345371045183</v>
      </c>
      <c r="K19" s="169">
        <f>+K18*'8- COSTO COMBUST'!K16</f>
        <v>495.81387248512516</v>
      </c>
      <c r="L19" s="170">
        <f>+L18*'8- COSTO COMBUST'!L16</f>
        <v>495.81388546197968</v>
      </c>
      <c r="M19" s="596"/>
      <c r="N19" s="596"/>
      <c r="O19" s="596"/>
    </row>
    <row r="20" spans="1:16" ht="13.95" customHeight="1" x14ac:dyDescent="0.25">
      <c r="A20" s="52" t="s">
        <v>55</v>
      </c>
      <c r="B20" s="564">
        <f t="shared" ref="B20:D20" si="13">+B18+B10</f>
        <v>1448.0909200000001</v>
      </c>
      <c r="C20" s="169"/>
      <c r="D20" s="441">
        <f t="shared" si="13"/>
        <v>1448.0909199999999</v>
      </c>
      <c r="E20" s="169">
        <f t="shared" ref="E20:L20" si="14">+E18+E10</f>
        <v>1429.7438125619833</v>
      </c>
      <c r="F20" s="169">
        <f t="shared" si="14"/>
        <v>1429.7438125619833</v>
      </c>
      <c r="G20" s="169">
        <f t="shared" si="14"/>
        <v>1429.7438125619833</v>
      </c>
      <c r="H20" s="169">
        <f t="shared" si="14"/>
        <v>1429.7438125619833</v>
      </c>
      <c r="I20" s="169">
        <f t="shared" si="14"/>
        <v>1429.7438125619833</v>
      </c>
      <c r="J20" s="169">
        <f t="shared" si="14"/>
        <v>1429.7438125619833</v>
      </c>
      <c r="K20" s="169">
        <f t="shared" si="14"/>
        <v>1429.7438125619833</v>
      </c>
      <c r="L20" s="170">
        <f t="shared" si="14"/>
        <v>1429.7438125619833</v>
      </c>
      <c r="M20" s="596"/>
      <c r="N20" s="597"/>
      <c r="O20" s="25"/>
      <c r="P20" s="25"/>
    </row>
    <row r="21" spans="1:16" ht="13.95" customHeight="1" thickBot="1" x14ac:dyDescent="0.3">
      <c r="A21" s="53" t="s">
        <v>56</v>
      </c>
      <c r="B21" s="175">
        <f>+B20*'8- COSTO COMBUST'!B16</f>
        <v>916.29618267557998</v>
      </c>
      <c r="C21" s="175"/>
      <c r="D21" s="174"/>
      <c r="E21" s="175">
        <f>+E20*'8- COSTO COMBUST'!E16</f>
        <v>736.01136626470111</v>
      </c>
      <c r="F21" s="175">
        <f>+F20*'8- COSTO COMBUST'!F16</f>
        <v>691.86536958784609</v>
      </c>
      <c r="G21" s="175">
        <f>+G20*'8- COSTO COMBUST'!G16</f>
        <v>543.17904742095766</v>
      </c>
      <c r="H21" s="175">
        <f>+H20*'8- COSTO COMBUST'!H16</f>
        <v>478.80540415787942</v>
      </c>
      <c r="I21" s="175">
        <f>+I20*'8- COSTO COMBUST'!I16</f>
        <v>606.62229204673031</v>
      </c>
      <c r="J21" s="175">
        <f>+J20*'8- COSTO COMBUST'!J16</f>
        <v>619.66573761794734</v>
      </c>
      <c r="K21" s="175">
        <f>+K20*'8- COSTO COMBUST'!K16</f>
        <v>589.85319145386302</v>
      </c>
      <c r="L21" s="176">
        <f>+L20*'8- COSTO COMBUST'!L16</f>
        <v>589.85320689199307</v>
      </c>
      <c r="M21" s="598"/>
      <c r="N21" s="599"/>
      <c r="O21" s="26"/>
      <c r="P21" s="26"/>
    </row>
    <row r="22" spans="1:16" ht="14.55" customHeight="1" thickBot="1" x14ac:dyDescent="0.3">
      <c r="A22" s="67" t="s">
        <v>59</v>
      </c>
      <c r="B22" s="172">
        <f>+$B18*'8- COSTO COMBUST'!B16-B19</f>
        <v>769.86709356447034</v>
      </c>
      <c r="C22" s="172"/>
      <c r="D22" s="68"/>
      <c r="E22" s="172">
        <f>+$D18*'8- COSTO COMBUST'!E16-E19</f>
        <v>7.6579659371901698</v>
      </c>
      <c r="F22" s="172">
        <f>+$D18*'8- COSTO COMBUST'!F16-F19</f>
        <v>7.19864077685952</v>
      </c>
      <c r="G22" s="172">
        <f>+$D18*'8- COSTO COMBUST'!G16-G19</f>
        <v>5.6516065289256971</v>
      </c>
      <c r="H22" s="172">
        <f>+$D18*'8- COSTO COMBUST'!H16-H19</f>
        <v>4.9818190909091413</v>
      </c>
      <c r="I22" s="172">
        <f>+$D18*'8- COSTO COMBUST'!I16-I19</f>
        <v>6.311713462809962</v>
      </c>
      <c r="J22" s="172">
        <f>+$D18*'8- COSTO COMBUST'!J16-J19</f>
        <v>6.4474263966942544</v>
      </c>
      <c r="K22" s="172">
        <f>+$D18*'8- COSTO COMBUST'!K16-K19</f>
        <v>6.1372362644628993</v>
      </c>
      <c r="L22" s="173">
        <f>+$D18*'8- COSTO COMBUST'!L16-L19</f>
        <v>6.1372364250917144</v>
      </c>
      <c r="M22" s="600"/>
      <c r="N22" s="69"/>
      <c r="O22" s="4"/>
    </row>
    <row r="23" spans="1:16" ht="10.050000000000001" customHeight="1" thickBot="1" x14ac:dyDescent="0.3">
      <c r="A23" s="19"/>
      <c r="B23" s="19"/>
      <c r="C23" s="28"/>
      <c r="D23" s="419"/>
      <c r="E23" s="28"/>
      <c r="F23" s="28"/>
      <c r="G23" s="28"/>
      <c r="H23" s="28"/>
      <c r="I23" s="28"/>
      <c r="J23" s="28"/>
      <c r="K23" s="28"/>
      <c r="L23" s="28"/>
      <c r="M23" s="596"/>
      <c r="N23" s="601"/>
      <c r="O23" s="1"/>
    </row>
    <row r="24" spans="1:16" ht="15" customHeight="1" thickBot="1" x14ac:dyDescent="0.3">
      <c r="A24" s="193" t="s">
        <v>297</v>
      </c>
      <c r="B24" s="558"/>
      <c r="C24" s="194" t="s">
        <v>0</v>
      </c>
      <c r="D24" s="192"/>
      <c r="E24" s="194" t="s">
        <v>1</v>
      </c>
      <c r="F24" s="194" t="s">
        <v>2</v>
      </c>
      <c r="G24" s="194" t="s">
        <v>3</v>
      </c>
      <c r="H24" s="194" t="s">
        <v>4</v>
      </c>
      <c r="I24" s="194" t="s">
        <v>5</v>
      </c>
      <c r="J24" s="194" t="s">
        <v>6</v>
      </c>
      <c r="K24" s="194" t="s">
        <v>7</v>
      </c>
      <c r="L24" s="195" t="s">
        <v>8</v>
      </c>
      <c r="M24" s="596"/>
      <c r="N24" s="601"/>
      <c r="O24" s="1"/>
    </row>
    <row r="25" spans="1:16" ht="19.2" customHeight="1" x14ac:dyDescent="0.25">
      <c r="A25" s="183" t="s">
        <v>61</v>
      </c>
      <c r="B25" s="559"/>
      <c r="C25" s="185">
        <f>+'2- EMP. REP'!B14</f>
        <v>3.444468560871945</v>
      </c>
      <c r="D25" s="184"/>
      <c r="E25" s="185">
        <f>+'2- EMP. REP'!C14</f>
        <v>2.719643517777699</v>
      </c>
      <c r="F25" s="185">
        <f>+'2- EMP. REP'!D14</f>
        <v>1.7471023670309904</v>
      </c>
      <c r="G25" s="185">
        <f>+'2- EMP. REP'!E14</f>
        <v>0.86686079327287169</v>
      </c>
      <c r="H25" s="185">
        <f>+'2- EMP. REP'!F14</f>
        <v>1.1243147074284723</v>
      </c>
      <c r="I25" s="185">
        <f>+'2- EMP. REP'!G14</f>
        <v>2.7832034695858399</v>
      </c>
      <c r="J25" s="185">
        <f>+'2- EMP. REP'!H14</f>
        <v>1.7259651618975009</v>
      </c>
      <c r="K25" s="185">
        <f>+'2- EMP. REP'!I14</f>
        <v>3.1186188236929908</v>
      </c>
      <c r="L25" s="186">
        <f>+'2- EMP. REP'!J14</f>
        <v>2.4992933879833421</v>
      </c>
      <c r="M25" s="601"/>
      <c r="N25" s="601"/>
      <c r="O25" s="1"/>
    </row>
    <row r="26" spans="1:16" ht="24" customHeight="1" thickBot="1" x14ac:dyDescent="0.3">
      <c r="A26" s="187" t="s">
        <v>60</v>
      </c>
      <c r="B26" s="560"/>
      <c r="C26" s="189">
        <f>+C22/C25</f>
        <v>0</v>
      </c>
      <c r="D26" s="188"/>
      <c r="E26" s="189">
        <f t="shared" ref="E26:L26" si="15">+E22/E25</f>
        <v>2.8157976908119635</v>
      </c>
      <c r="F26" s="189">
        <f t="shared" si="15"/>
        <v>4.120331420014514</v>
      </c>
      <c r="G26" s="189">
        <f t="shared" si="15"/>
        <v>6.5196241112575919</v>
      </c>
      <c r="H26" s="189">
        <f t="shared" si="15"/>
        <v>4.4309827648733124</v>
      </c>
      <c r="I26" s="189">
        <f t="shared" si="15"/>
        <v>2.2677872932334298</v>
      </c>
      <c r="J26" s="189">
        <f t="shared" si="15"/>
        <v>3.735548398674541</v>
      </c>
      <c r="K26" s="189">
        <f t="shared" si="15"/>
        <v>1.9679340796113507</v>
      </c>
      <c r="L26" s="190">
        <f t="shared" si="15"/>
        <v>2.4555886294100895</v>
      </c>
      <c r="M26" s="601"/>
      <c r="N26" s="602"/>
      <c r="O26" s="27"/>
    </row>
    <row r="27" spans="1:16" x14ac:dyDescent="0.25">
      <c r="C27" s="60"/>
      <c r="E27" s="60"/>
      <c r="F27" s="60"/>
      <c r="G27" s="60"/>
      <c r="H27" s="60"/>
      <c r="I27" s="60"/>
      <c r="J27" s="60"/>
      <c r="K27" s="60"/>
      <c r="L27" s="60"/>
    </row>
    <row r="28" spans="1:16" ht="13.8" thickBot="1" x14ac:dyDescent="0.3">
      <c r="C28" s="29"/>
      <c r="D28" s="30"/>
      <c r="E28" s="29"/>
      <c r="F28" s="29"/>
      <c r="G28" s="29"/>
      <c r="H28" s="29"/>
      <c r="I28" s="29"/>
      <c r="J28" s="29"/>
      <c r="K28" s="29"/>
    </row>
    <row r="29" spans="1:16" x14ac:dyDescent="0.25">
      <c r="A29" s="144" t="s">
        <v>131</v>
      </c>
      <c r="B29" s="561"/>
      <c r="C29" s="146">
        <f>+C22*1.21</f>
        <v>0</v>
      </c>
      <c r="D29" s="145"/>
      <c r="E29" s="146">
        <f t="shared" ref="E29:L29" si="16">+E22*1.21</f>
        <v>9.2661387840001055</v>
      </c>
      <c r="F29" s="146">
        <f t="shared" si="16"/>
        <v>8.7103553400000191</v>
      </c>
      <c r="G29" s="146">
        <f t="shared" si="16"/>
        <v>6.8384439000000929</v>
      </c>
      <c r="H29" s="146">
        <f t="shared" si="16"/>
        <v>6.0280011000000604</v>
      </c>
      <c r="I29" s="146">
        <f t="shared" si="16"/>
        <v>7.637173290000054</v>
      </c>
      <c r="J29" s="146">
        <f t="shared" si="16"/>
        <v>7.8013859400000474</v>
      </c>
      <c r="K29" s="146">
        <f t="shared" si="16"/>
        <v>7.4260558800001082</v>
      </c>
      <c r="L29" s="147">
        <f t="shared" si="16"/>
        <v>7.4260560743609743</v>
      </c>
    </row>
    <row r="30" spans="1:16" ht="13.8" thickBot="1" x14ac:dyDescent="0.3">
      <c r="A30" s="142" t="s">
        <v>295</v>
      </c>
      <c r="B30" s="562"/>
      <c r="C30" s="430">
        <f>+C29*'11-BALANCE DE COMPENSACION'!C10</f>
        <v>0</v>
      </c>
      <c r="D30" s="143"/>
      <c r="E30" s="430">
        <f>+E29*'11-BALANCE DE COMPENSACION'!D10</f>
        <v>280912565.29743588</v>
      </c>
      <c r="F30" s="430">
        <f>+F29*'11-BALANCE DE COMPENSACION'!E10</f>
        <v>29101509.868782949</v>
      </c>
      <c r="G30" s="430">
        <f>+G29*'11-BALANCE DE COMPENSACION'!F10</f>
        <v>29994379.165990308</v>
      </c>
      <c r="H30" s="430">
        <f>+H29*'11-BALANCE DE COMPENSACION'!G10</f>
        <v>7668584.391043202</v>
      </c>
      <c r="I30" s="430">
        <f>+I29*'11-BALANCE DE COMPENSACION'!H10</f>
        <v>172721826.80256841</v>
      </c>
      <c r="J30" s="430">
        <f>+J29*'11-BALANCE DE COMPENSACION'!I10</f>
        <v>54634136.170879908</v>
      </c>
      <c r="K30" s="430">
        <f>+K29*'11-BALANCE DE COMPENSACION'!J10</f>
        <v>94738086.733280495</v>
      </c>
      <c r="L30" s="431">
        <f>+L29*'11-BALANCE DE COMPENSACION'!K10</f>
        <v>38740649.716916345</v>
      </c>
    </row>
    <row r="31" spans="1:16" ht="13.8" thickBot="1" x14ac:dyDescent="0.3">
      <c r="C31" s="18"/>
      <c r="E31" s="18"/>
      <c r="F31" s="18"/>
      <c r="G31" s="18"/>
      <c r="H31" s="18"/>
      <c r="I31" s="18"/>
      <c r="J31" s="18"/>
      <c r="K31" s="18"/>
      <c r="L31" s="18"/>
      <c r="M31" s="365"/>
    </row>
    <row r="32" spans="1:16" ht="13.8" thickBot="1" x14ac:dyDescent="0.3">
      <c r="A32" s="67" t="s">
        <v>132</v>
      </c>
      <c r="B32" s="557"/>
      <c r="C32" s="141">
        <f>+'8- COSTO COMBUST'!C16*'11-BALANCE DE COMPENSACION'!C10</f>
        <v>0</v>
      </c>
      <c r="D32" s="68"/>
      <c r="E32" s="141">
        <f>+'8- COSTO COMBUST'!E16*'11-BALANCE DE COMPENSACION'!D10</f>
        <v>15606253.627635151</v>
      </c>
      <c r="F32" s="141">
        <f>+'8- COSTO COMBUST'!F16*'11-BALANCE DE COMPENSACION'!E10</f>
        <v>1616750.5482657158</v>
      </c>
      <c r="G32" s="141">
        <f>+'8- COSTO COMBUST'!G16*'11-BALANCE DE COMPENSACION'!F10</f>
        <v>1666354.3981105499</v>
      </c>
      <c r="H32" s="141">
        <f>+'8- COSTO COMBUST'!H16*'11-BALANCE DE COMPENSACION'!G10</f>
        <v>426032.46616906254</v>
      </c>
      <c r="I32" s="141">
        <f>+'8- COSTO COMBUST'!I16*'11-BALANCE DE COMPENSACION'!H10</f>
        <v>9595657.0445870664</v>
      </c>
      <c r="J32" s="141">
        <f>+'8- COSTO COMBUST'!J16*'11-BALANCE DE COMPENSACION'!I10</f>
        <v>3035229.7872710875</v>
      </c>
      <c r="K32" s="388">
        <f>+'8- COSTO COMBUST'!K16*'11-BALANCE DE COMPENSACION'!J10</f>
        <v>5263227.0407377286</v>
      </c>
      <c r="L32" s="196">
        <f>+'8- COSTO COMBUST'!L16*'11-BALANCE DE COMPENSACION'!K10</f>
        <v>2152258.3176064515</v>
      </c>
      <c r="M32" s="365"/>
    </row>
    <row r="33" spans="1:13" x14ac:dyDescent="0.25"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365"/>
    </row>
    <row r="34" spans="1:13" x14ac:dyDescent="0.25"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365"/>
    </row>
    <row r="35" spans="1:13" x14ac:dyDescent="0.25"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365"/>
    </row>
    <row r="36" spans="1:13" x14ac:dyDescent="0.25"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365"/>
    </row>
    <row r="37" spans="1:13" x14ac:dyDescent="0.25">
      <c r="A37" s="44"/>
      <c r="B37" s="44"/>
      <c r="C37" s="416"/>
      <c r="D37" s="416"/>
      <c r="E37" s="89"/>
      <c r="F37" s="89"/>
      <c r="G37" s="89"/>
      <c r="H37" s="89"/>
      <c r="I37" s="89"/>
      <c r="J37" s="89"/>
      <c r="K37" s="89"/>
      <c r="L37" s="89"/>
      <c r="M37" s="365"/>
    </row>
    <row r="38" spans="1:13" x14ac:dyDescent="0.25">
      <c r="C38" s="416"/>
      <c r="D38" s="416"/>
      <c r="E38" s="18"/>
      <c r="F38" s="18"/>
      <c r="G38" s="18"/>
      <c r="H38" s="18"/>
      <c r="I38" s="18"/>
      <c r="J38" s="18"/>
      <c r="K38" s="18"/>
      <c r="L38" s="18"/>
      <c r="M38" s="365"/>
    </row>
    <row r="39" spans="1:13" x14ac:dyDescent="0.25">
      <c r="C39" s="416"/>
      <c r="D39" s="416"/>
    </row>
  </sheetData>
  <conditionalFormatting sqref="C6">
    <cfRule type="cellIs" dxfId="2" priority="2" stopIfTrue="1" operator="lessThan">
      <formula>0</formula>
    </cfRule>
  </conditionalFormatting>
  <conditionalFormatting sqref="C12 E12:L12">
    <cfRule type="cellIs" dxfId="1" priority="3" stopIfTrue="1" operator="lessThan">
      <formula>0</formula>
    </cfRule>
  </conditionalFormatting>
  <conditionalFormatting sqref="E6:L6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E20:L20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9163-AA8E-984A-9380-062A67DEB059}">
  <dimension ref="A1:G33"/>
  <sheetViews>
    <sheetView topLeftCell="A18" workbookViewId="0">
      <selection activeCell="B3" sqref="B3"/>
    </sheetView>
  </sheetViews>
  <sheetFormatPr baseColWidth="10" defaultRowHeight="13.2" x14ac:dyDescent="0.25"/>
  <cols>
    <col min="1" max="1" width="31.21875" style="225" customWidth="1"/>
    <col min="2" max="2" width="33.21875" style="18" customWidth="1"/>
    <col min="3" max="3" width="33.21875" style="20" customWidth="1"/>
    <col min="4" max="4" width="36" style="20" customWidth="1"/>
    <col min="5" max="7" width="21.5546875" customWidth="1"/>
  </cols>
  <sheetData>
    <row r="1" spans="1:7" ht="42.45" customHeight="1" x14ac:dyDescent="0.25">
      <c r="A1" s="730" t="s">
        <v>57</v>
      </c>
      <c r="B1" s="730"/>
      <c r="C1" s="730"/>
      <c r="D1" s="730"/>
      <c r="E1" s="730"/>
      <c r="F1" s="730"/>
    </row>
    <row r="2" spans="1:7" ht="24" customHeight="1" x14ac:dyDescent="0.25">
      <c r="A2" s="219" t="s">
        <v>349</v>
      </c>
      <c r="B2" s="212" t="s">
        <v>350</v>
      </c>
      <c r="C2" s="212" t="s">
        <v>351</v>
      </c>
      <c r="D2" s="212" t="s">
        <v>352</v>
      </c>
      <c r="E2" s="4"/>
      <c r="F2" s="4"/>
    </row>
    <row r="3" spans="1:7" ht="24" customHeight="1" x14ac:dyDescent="0.25">
      <c r="A3" s="220" t="s">
        <v>340</v>
      </c>
      <c r="B3" s="213">
        <f>+'1-COSTO X KM'!B51*'10-RESUMEN DE COSTOS'!C5/12</f>
        <v>17532878.984644819</v>
      </c>
      <c r="C3" s="214">
        <f>+('1-COSTO X KM'!B51-'1-COSTO X KM'!B11-'1-COSTO X KM'!B32-'1-COSTO X KM'!B49)*'2- EMP. REP'!B8/12</f>
        <v>14654653.917845776</v>
      </c>
      <c r="D3" s="214">
        <f>+B3-C3</f>
        <v>2878225.0667990427</v>
      </c>
      <c r="E3" s="59"/>
      <c r="F3" s="59"/>
      <c r="G3" s="442"/>
    </row>
    <row r="4" spans="1:7" ht="24" customHeight="1" x14ac:dyDescent="0.25">
      <c r="A4" s="221" t="s">
        <v>341</v>
      </c>
      <c r="B4" s="213">
        <f>+'1-COSTO X KM'!C51*'10-RESUMEN DE COSTOS'!D5/12</f>
        <v>17008778.53267397</v>
      </c>
      <c r="C4" s="214">
        <f>+('1-COSTO X KM'!C51-'1-COSTO X KM'!C11-'1-COSTO X KM'!C32-'1-COSTO X KM'!C49)*'2- EMP. REP'!C8/12</f>
        <v>14475572.61996224</v>
      </c>
      <c r="D4" s="214">
        <f t="shared" ref="D4:D11" si="0">+B4-C4</f>
        <v>2533205.9127117302</v>
      </c>
      <c r="E4" s="59"/>
      <c r="F4" s="59"/>
      <c r="G4" s="442"/>
    </row>
    <row r="5" spans="1:7" ht="24" customHeight="1" x14ac:dyDescent="0.25">
      <c r="A5" s="221" t="s">
        <v>342</v>
      </c>
      <c r="B5" s="213">
        <f>+'1-COSTO X KM'!D51*'10-RESUMEN DE COSTOS'!E5/12</f>
        <v>18074228.54323579</v>
      </c>
      <c r="C5" s="214">
        <f>+('1-COSTO X KM'!D51-'1-COSTO X KM'!D11-'1-COSTO X KM'!D32-'1-COSTO X KM'!D49)*'2- EMP. REP'!D8/12</f>
        <v>15461598.748026526</v>
      </c>
      <c r="D5" s="214">
        <f t="shared" si="0"/>
        <v>2612629.7952092644</v>
      </c>
      <c r="E5" s="59"/>
      <c r="F5" s="59"/>
      <c r="G5" s="442"/>
    </row>
    <row r="6" spans="1:7" ht="24" customHeight="1" x14ac:dyDescent="0.25">
      <c r="A6" s="221" t="s">
        <v>343</v>
      </c>
      <c r="B6" s="213">
        <f>+'1-COSTO X KM'!E51*'10-RESUMEN DE COSTOS'!F5/12</f>
        <v>23132490.8513855</v>
      </c>
      <c r="C6" s="214">
        <f>+('1-COSTO X KM'!E51-'1-COSTO X KM'!E11-'1-COSTO X KM'!E32-'1-COSTO X KM'!E49)*'2- EMP. REP'!E8/12</f>
        <v>19569958.571676355</v>
      </c>
      <c r="D6" s="214">
        <f t="shared" si="0"/>
        <v>3562532.2797091454</v>
      </c>
      <c r="E6" s="59"/>
      <c r="F6" s="59"/>
      <c r="G6" s="442"/>
    </row>
    <row r="7" spans="1:7" ht="24" customHeight="1" x14ac:dyDescent="0.25">
      <c r="A7" s="221" t="s">
        <v>344</v>
      </c>
      <c r="B7" s="213">
        <f>+'1-COSTO X KM'!F51*'10-RESUMEN DE COSTOS'!G5/12</f>
        <v>17581698.088864442</v>
      </c>
      <c r="C7" s="214">
        <f>+('1-COSTO X KM'!F51-'1-COSTO X KM'!F11-'1-COSTO X KM'!F32-'1-COSTO X KM'!F49)*'2- EMP. REP'!F8/12</f>
        <v>15042078.753809011</v>
      </c>
      <c r="D7" s="214">
        <f t="shared" si="0"/>
        <v>2539619.3350554314</v>
      </c>
      <c r="E7" s="59"/>
      <c r="F7" s="59"/>
      <c r="G7" s="442"/>
    </row>
    <row r="8" spans="1:7" ht="24" customHeight="1" x14ac:dyDescent="0.25">
      <c r="A8" s="221" t="s">
        <v>345</v>
      </c>
      <c r="B8" s="213">
        <f>+'1-COSTO X KM'!G51*'10-RESUMEN DE COSTOS'!H5/12</f>
        <v>16890698.169803161</v>
      </c>
      <c r="C8" s="214">
        <f>+('1-COSTO X KM'!G51-'1-COSTO X KM'!G11-'1-COSTO X KM'!G32-'1-COSTO X KM'!G49)*'2- EMP. REP'!G8/12</f>
        <v>14393478.535427734</v>
      </c>
      <c r="D8" s="214">
        <f t="shared" si="0"/>
        <v>2497219.6343754269</v>
      </c>
      <c r="E8" s="59"/>
      <c r="F8" s="59"/>
      <c r="G8" s="442"/>
    </row>
    <row r="9" spans="1:7" ht="25.05" customHeight="1" x14ac:dyDescent="0.25">
      <c r="A9" s="221" t="s">
        <v>346</v>
      </c>
      <c r="B9" s="213">
        <f>+'1-COSTO X KM'!H51*'10-RESUMEN DE COSTOS'!I5/12</f>
        <v>18498856.953766167</v>
      </c>
      <c r="C9" s="214">
        <f>+('1-COSTO X KM'!H51-'1-COSTO X KM'!H11-'1-COSTO X KM'!H32-'1-COSTO X KM'!H49)*'2- EMP. REP'!H8/12</f>
        <v>15884345.050717095</v>
      </c>
      <c r="D9" s="214">
        <f t="shared" si="0"/>
        <v>2614511.9030490723</v>
      </c>
      <c r="E9" s="59"/>
      <c r="F9" s="59"/>
      <c r="G9" s="442"/>
    </row>
    <row r="10" spans="1:7" ht="24" customHeight="1" x14ac:dyDescent="0.25">
      <c r="A10" s="221" t="s">
        <v>347</v>
      </c>
      <c r="B10" s="213">
        <f>+'1-COSTO X KM'!I51*'10-RESUMEN DE COSTOS'!J5/12</f>
        <v>15793653.299182996</v>
      </c>
      <c r="C10" s="214">
        <f>+('1-COSTO X KM'!I51-'1-COSTO X KM'!I11-'1-COSTO X KM'!I32-'1-COSTO X KM'!I49)*'2- EMP. REP'!I8/12</f>
        <v>13571676.57960932</v>
      </c>
      <c r="D10" s="214">
        <f t="shared" si="0"/>
        <v>2221976.7195736766</v>
      </c>
      <c r="E10" s="59"/>
      <c r="F10" s="59"/>
      <c r="G10" s="442"/>
    </row>
    <row r="11" spans="1:7" ht="23.7" customHeight="1" x14ac:dyDescent="0.25">
      <c r="A11" s="221" t="s">
        <v>348</v>
      </c>
      <c r="B11" s="213">
        <f>+'1-COSTO X KM'!J51*'10-RESUMEN DE COSTOS'!K5/12</f>
        <v>16107883.085819369</v>
      </c>
      <c r="C11" s="214">
        <f>+('1-COSTO X KM'!J51-'1-COSTO X KM'!J11-'1-COSTO X KM'!J32-'1-COSTO X KM'!J49)*'2- EMP. REP'!J8/12</f>
        <v>13863390.634971062</v>
      </c>
      <c r="D11" s="214">
        <f t="shared" si="0"/>
        <v>2244492.4508483075</v>
      </c>
      <c r="E11" s="59"/>
      <c r="F11" s="59"/>
      <c r="G11" s="442"/>
    </row>
    <row r="12" spans="1:7" ht="12.75" customHeight="1" x14ac:dyDescent="0.25">
      <c r="A12" s="222"/>
      <c r="B12" s="34"/>
      <c r="C12" s="215"/>
      <c r="D12" s="215"/>
      <c r="E12" s="1"/>
      <c r="F12" s="1"/>
    </row>
    <row r="13" spans="1:7" ht="24.45" customHeight="1" x14ac:dyDescent="0.25">
      <c r="A13" s="219" t="s">
        <v>349</v>
      </c>
      <c r="B13" s="212" t="s">
        <v>350</v>
      </c>
      <c r="C13" s="212" t="s">
        <v>351</v>
      </c>
      <c r="D13" s="212" t="s">
        <v>352</v>
      </c>
      <c r="E13" s="4"/>
      <c r="F13" s="4"/>
    </row>
    <row r="14" spans="1:7" ht="22.95" customHeight="1" x14ac:dyDescent="0.25">
      <c r="A14" s="220" t="s">
        <v>340</v>
      </c>
      <c r="B14" s="216">
        <v>1</v>
      </c>
      <c r="C14" s="216">
        <f t="shared" ref="C14:C22" si="1">+C3/B3</f>
        <v>0.83583842281009446</v>
      </c>
      <c r="D14" s="216">
        <f t="shared" ref="D14:D22" si="2">+B14-C14</f>
        <v>0.16416157718990554</v>
      </c>
      <c r="E14" s="366"/>
      <c r="G14" s="367"/>
    </row>
    <row r="15" spans="1:7" ht="24" customHeight="1" x14ac:dyDescent="0.25">
      <c r="A15" s="221" t="s">
        <v>341</v>
      </c>
      <c r="B15" s="216">
        <v>1</v>
      </c>
      <c r="C15" s="216">
        <f t="shared" si="1"/>
        <v>0.85106479528524481</v>
      </c>
      <c r="D15" s="216">
        <f t="shared" si="2"/>
        <v>0.14893520471475519</v>
      </c>
      <c r="E15" s="366"/>
      <c r="G15" s="368"/>
    </row>
    <row r="16" spans="1:7" ht="25.05" customHeight="1" x14ac:dyDescent="0.25">
      <c r="A16" s="221" t="s">
        <v>58</v>
      </c>
      <c r="B16" s="216">
        <v>1</v>
      </c>
      <c r="C16" s="216">
        <f t="shared" si="1"/>
        <v>0.85544999671994126</v>
      </c>
      <c r="D16" s="216">
        <f t="shared" si="2"/>
        <v>0.14455000328005874</v>
      </c>
      <c r="E16" s="366"/>
      <c r="G16" s="367"/>
    </row>
    <row r="17" spans="1:7" ht="24" customHeight="1" x14ac:dyDescent="0.25">
      <c r="A17" s="221" t="s">
        <v>343</v>
      </c>
      <c r="B17" s="216">
        <v>1</v>
      </c>
      <c r="C17" s="216">
        <f t="shared" si="1"/>
        <v>0.84599443688980125</v>
      </c>
      <c r="D17" s="216">
        <f t="shared" si="2"/>
        <v>0.15400556311019875</v>
      </c>
      <c r="E17" s="366"/>
      <c r="G17" s="367"/>
    </row>
    <row r="18" spans="1:7" ht="24" customHeight="1" x14ac:dyDescent="0.25">
      <c r="A18" s="221" t="s">
        <v>344</v>
      </c>
      <c r="B18" s="216">
        <v>1</v>
      </c>
      <c r="C18" s="216">
        <f t="shared" si="1"/>
        <v>0.85555323938454353</v>
      </c>
      <c r="D18" s="216">
        <f t="shared" si="2"/>
        <v>0.14444676061545647</v>
      </c>
      <c r="E18" s="366"/>
      <c r="G18" s="367"/>
    </row>
    <row r="19" spans="1:7" ht="24" customHeight="1" x14ac:dyDescent="0.25">
      <c r="A19" s="221" t="s">
        <v>345</v>
      </c>
      <c r="B19" s="216">
        <v>1</v>
      </c>
      <c r="C19" s="216">
        <f t="shared" si="1"/>
        <v>0.85215414962302127</v>
      </c>
      <c r="D19" s="216">
        <f t="shared" si="2"/>
        <v>0.14784585037697873</v>
      </c>
      <c r="E19" s="366"/>
      <c r="G19" s="367"/>
    </row>
    <row r="20" spans="1:7" ht="24" customHeight="1" x14ac:dyDescent="0.25">
      <c r="A20" s="221" t="s">
        <v>346</v>
      </c>
      <c r="B20" s="216">
        <v>1</v>
      </c>
      <c r="C20" s="216">
        <f t="shared" si="1"/>
        <v>0.8586662997836314</v>
      </c>
      <c r="D20" s="216">
        <f t="shared" si="2"/>
        <v>0.1413337002163686</v>
      </c>
      <c r="E20" s="366"/>
      <c r="G20" s="367"/>
    </row>
    <row r="21" spans="1:7" ht="24" customHeight="1" x14ac:dyDescent="0.25">
      <c r="A21" s="221" t="s">
        <v>347</v>
      </c>
      <c r="B21" s="216">
        <v>1</v>
      </c>
      <c r="C21" s="216">
        <f t="shared" si="1"/>
        <v>0.8593120491198436</v>
      </c>
      <c r="D21" s="216">
        <f t="shared" si="2"/>
        <v>0.1406879508801564</v>
      </c>
      <c r="E21" s="366"/>
      <c r="G21" s="367"/>
    </row>
    <row r="22" spans="1:7" ht="26.55" customHeight="1" x14ac:dyDescent="0.25">
      <c r="A22" s="223" t="s">
        <v>348</v>
      </c>
      <c r="B22" s="216">
        <v>1</v>
      </c>
      <c r="C22" s="216">
        <f t="shared" si="1"/>
        <v>0.86065875702659811</v>
      </c>
      <c r="D22" s="216">
        <f t="shared" si="2"/>
        <v>0.13934124297340189</v>
      </c>
      <c r="E22" s="366"/>
      <c r="G22" s="367"/>
    </row>
    <row r="23" spans="1:7" x14ac:dyDescent="0.25">
      <c r="A23" s="224"/>
      <c r="B23" s="217"/>
      <c r="C23" s="218"/>
      <c r="D23" s="218"/>
    </row>
    <row r="24" spans="1:7" x14ac:dyDescent="0.25">
      <c r="A24" s="224"/>
      <c r="B24" s="217"/>
      <c r="C24" s="218"/>
      <c r="D24" s="218"/>
    </row>
    <row r="26" spans="1:7" x14ac:dyDescent="0.25">
      <c r="E26" s="366"/>
    </row>
    <row r="27" spans="1:7" x14ac:dyDescent="0.25">
      <c r="E27" s="366"/>
    </row>
    <row r="28" spans="1:7" x14ac:dyDescent="0.25">
      <c r="E28" s="366"/>
    </row>
    <row r="29" spans="1:7" x14ac:dyDescent="0.25">
      <c r="E29" s="366"/>
    </row>
    <row r="30" spans="1:7" x14ac:dyDescent="0.25">
      <c r="E30" s="366"/>
    </row>
    <row r="31" spans="1:7" x14ac:dyDescent="0.25">
      <c r="E31" s="366"/>
    </row>
    <row r="32" spans="1:7" x14ac:dyDescent="0.25">
      <c r="E32" s="366"/>
    </row>
    <row r="33" spans="5:5" x14ac:dyDescent="0.25">
      <c r="E33" s="366"/>
    </row>
  </sheetData>
  <mergeCells count="1">
    <mergeCell ref="A1:F1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277A-AF9B-684F-9707-EE57378EECF5}">
  <dimension ref="A1:N29"/>
  <sheetViews>
    <sheetView topLeftCell="A3" workbookViewId="0">
      <selection activeCell="C26" sqref="C26"/>
    </sheetView>
  </sheetViews>
  <sheetFormatPr baseColWidth="10" defaultRowHeight="13.2" x14ac:dyDescent="0.25"/>
  <cols>
    <col min="1" max="1" width="34" customWidth="1"/>
    <col min="2" max="2" width="12.77734375" style="74" customWidth="1"/>
    <col min="3" max="11" width="13.44140625" style="77" bestFit="1" customWidth="1"/>
    <col min="12" max="12" width="12.44140625" customWidth="1"/>
  </cols>
  <sheetData>
    <row r="1" spans="1:14" ht="33" customHeight="1" x14ac:dyDescent="0.25">
      <c r="A1" s="211" t="s">
        <v>536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x14ac:dyDescent="0.25">
      <c r="A2" s="421" t="s">
        <v>506</v>
      </c>
    </row>
    <row r="3" spans="1:14" ht="27" customHeight="1" x14ac:dyDescent="0.25">
      <c r="A3" s="199" t="s">
        <v>328</v>
      </c>
      <c r="B3" s="199" t="s">
        <v>329</v>
      </c>
      <c r="C3" s="199" t="s">
        <v>330</v>
      </c>
      <c r="D3" s="199" t="s">
        <v>331</v>
      </c>
      <c r="E3" s="199" t="s">
        <v>332</v>
      </c>
      <c r="F3" s="736" t="s">
        <v>333</v>
      </c>
      <c r="G3" s="736"/>
      <c r="H3" s="736"/>
      <c r="I3" s="199" t="s">
        <v>334</v>
      </c>
      <c r="J3" s="199" t="s">
        <v>335</v>
      </c>
      <c r="K3" s="199" t="s">
        <v>336</v>
      </c>
      <c r="L3" s="200"/>
      <c r="M3" s="200"/>
      <c r="N3" s="200"/>
    </row>
    <row r="4" spans="1:14" ht="13.5" customHeight="1" x14ac:dyDescent="0.25">
      <c r="A4" s="201" t="s">
        <v>304</v>
      </c>
      <c r="B4" s="202" t="s">
        <v>305</v>
      </c>
      <c r="C4" s="203">
        <f>+'2- EMP. REP'!B14</f>
        <v>3.444468560871945</v>
      </c>
      <c r="D4" s="203">
        <f>+'2- EMP. REP'!C14</f>
        <v>2.719643517777699</v>
      </c>
      <c r="E4" s="203">
        <f>+'2- EMP. REP'!D14</f>
        <v>1.7471023670309904</v>
      </c>
      <c r="F4" s="203">
        <f>+'2- EMP. REP'!E14</f>
        <v>0.86686079327287169</v>
      </c>
      <c r="G4" s="203">
        <f>+'2- EMP. REP'!F14</f>
        <v>1.1243147074284723</v>
      </c>
      <c r="H4" s="203">
        <f>+'2- EMP. REP'!G14</f>
        <v>2.7832034695858399</v>
      </c>
      <c r="I4" s="203">
        <f>+'2- EMP. REP'!H14</f>
        <v>1.7259651618975009</v>
      </c>
      <c r="J4" s="203">
        <f>+'2- EMP. REP'!I14</f>
        <v>3.1186188236929908</v>
      </c>
      <c r="K4" s="203">
        <f>+'2- EMP. REP'!J14</f>
        <v>2.4992933879833421</v>
      </c>
      <c r="L4" s="204"/>
      <c r="M4" s="204"/>
      <c r="N4" s="204"/>
    </row>
    <row r="5" spans="1:14" ht="13.5" customHeight="1" x14ac:dyDescent="0.25">
      <c r="A5" s="205" t="s">
        <v>306</v>
      </c>
      <c r="B5" s="85" t="s">
        <v>307</v>
      </c>
      <c r="C5" s="206">
        <f>+'2- EMP. REP'!B8</f>
        <v>54284.605280103024</v>
      </c>
      <c r="D5" s="206">
        <f>+'2- EMP. REP'!C8</f>
        <v>58961.489627228526</v>
      </c>
      <c r="E5" s="206">
        <f>+'2- EMP. REP'!D8</f>
        <v>77787.923076923078</v>
      </c>
      <c r="F5" s="206">
        <f>+'2- EMP. REP'!E8</f>
        <v>118012.76233183856</v>
      </c>
      <c r="G5" s="206">
        <f>+'2- EMP. REP'!F8</f>
        <v>88755.38461538461</v>
      </c>
      <c r="H5" s="206">
        <f>+'2- EMP. REP'!G8</f>
        <v>65855.692307692312</v>
      </c>
      <c r="I5" s="206">
        <f>+'2- EMP. REP'!H8</f>
        <v>89687.923076923078</v>
      </c>
      <c r="J5" s="206">
        <f>+'2- EMP. REP'!I8</f>
        <v>60967.857029072082</v>
      </c>
      <c r="K5" s="206">
        <f>+'2- EMP. REP'!J8</f>
        <v>65620.769230769234</v>
      </c>
      <c r="L5" s="204"/>
      <c r="M5" s="204"/>
      <c r="N5" s="204"/>
    </row>
    <row r="6" spans="1:14" ht="13.5" customHeight="1" x14ac:dyDescent="0.25">
      <c r="A6" s="205" t="s">
        <v>308</v>
      </c>
      <c r="B6" s="85" t="s">
        <v>309</v>
      </c>
      <c r="C6" s="171">
        <f>+'4- PERSONAL'!B4</f>
        <v>2.2226653340000002</v>
      </c>
      <c r="D6" s="171">
        <f>+'4- PERSONAL'!C4</f>
        <v>2.2945851500000001</v>
      </c>
      <c r="E6" s="171">
        <f>+'4- PERSONAL'!D4</f>
        <v>2.2945851500000001</v>
      </c>
      <c r="F6" s="171">
        <f>+'4- PERSONAL'!E4</f>
        <v>2.3600423608000001</v>
      </c>
      <c r="G6" s="171">
        <f>+'4- PERSONAL'!F4</f>
        <v>2.2945851500000001</v>
      </c>
      <c r="H6" s="171">
        <f>+'4- PERSONAL'!G4</f>
        <v>2.2945851500000001</v>
      </c>
      <c r="I6" s="171">
        <f>+'4- PERSONAL'!H4</f>
        <v>2.2945851500000001</v>
      </c>
      <c r="J6" s="171">
        <f>+'4- PERSONAL'!I4</f>
        <v>2.2226653340000002</v>
      </c>
      <c r="K6" s="171">
        <f>+'4- PERSONAL'!J4</f>
        <v>2.2226653340000002</v>
      </c>
      <c r="L6" s="204"/>
      <c r="M6" s="204"/>
      <c r="N6" s="204"/>
    </row>
    <row r="7" spans="1:14" ht="13.5" customHeight="1" x14ac:dyDescent="0.25">
      <c r="A7" s="205" t="s">
        <v>310</v>
      </c>
      <c r="B7" s="85" t="s">
        <v>311</v>
      </c>
      <c r="C7" s="171">
        <f>+'2- EMP. REP'!B12</f>
        <v>13.43</v>
      </c>
      <c r="D7" s="171">
        <f>+'2- EMP. REP'!C12</f>
        <v>16.238046287237374</v>
      </c>
      <c r="E7" s="171">
        <f>+'2- EMP. REP'!D12</f>
        <v>20.033441551805279</v>
      </c>
      <c r="F7" s="171">
        <f>+'2- EMP. REP'!E12</f>
        <v>31.560404487548499</v>
      </c>
      <c r="G7" s="171">
        <f>+'2- EMP. REP'!F12</f>
        <v>25.630108864373423</v>
      </c>
      <c r="H7" s="171">
        <f>+'2- EMP. REP'!G12</f>
        <v>16.157448743900467</v>
      </c>
      <c r="I7" s="171">
        <f>+'2- EMP. REP'!H12</f>
        <v>21.719000000000001</v>
      </c>
      <c r="J7" s="171">
        <f>+'2- EMP. REP'!I12</f>
        <v>15.075926438782124</v>
      </c>
      <c r="K7" s="171">
        <f>+'2- EMP. REP'!J12</f>
        <v>17.523861252931436</v>
      </c>
      <c r="L7" s="204"/>
      <c r="M7" s="204"/>
      <c r="N7" s="204"/>
    </row>
    <row r="8" spans="1:14" ht="16.5" customHeight="1" x14ac:dyDescent="0.25">
      <c r="A8" s="421" t="s">
        <v>312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21"/>
    </row>
    <row r="9" spans="1:14" ht="28.5" customHeight="1" x14ac:dyDescent="0.25">
      <c r="A9" s="199" t="s">
        <v>337</v>
      </c>
      <c r="B9" s="199" t="s">
        <v>329</v>
      </c>
      <c r="C9" s="199" t="s">
        <v>330</v>
      </c>
      <c r="D9" s="199" t="s">
        <v>331</v>
      </c>
      <c r="E9" s="199" t="s">
        <v>332</v>
      </c>
      <c r="F9" s="736" t="s">
        <v>333</v>
      </c>
      <c r="G9" s="736"/>
      <c r="H9" s="736"/>
      <c r="I9" s="199" t="s">
        <v>334</v>
      </c>
      <c r="J9" s="199" t="s">
        <v>335</v>
      </c>
      <c r="K9" s="199" t="s">
        <v>336</v>
      </c>
      <c r="L9" s="200"/>
      <c r="M9" s="200"/>
      <c r="N9" s="200"/>
    </row>
    <row r="10" spans="1:14" ht="13.2" customHeight="1" x14ac:dyDescent="0.25">
      <c r="A10" s="201" t="s">
        <v>313</v>
      </c>
      <c r="B10" s="202" t="s">
        <v>314</v>
      </c>
      <c r="C10" s="207">
        <f>+'5-PRECIOS SIN IVA'!B17+'5-PRECIOS SIN IVA'!B18</f>
        <v>179967925.43000001</v>
      </c>
      <c r="D10" s="207">
        <f>+'5-PRECIOS SIN IVA'!C17+'5-PRECIOS SIN IVA'!C18</f>
        <v>179967925.43000001</v>
      </c>
      <c r="E10" s="207">
        <f>+'5-PRECIOS SIN IVA'!D17+'5-PRECIOS SIN IVA'!D18</f>
        <v>179967925.43000001</v>
      </c>
      <c r="F10" s="207">
        <f>+'5-PRECIOS SIN IVA'!E17+'5-PRECIOS SIN IVA'!E18</f>
        <v>250214545.06</v>
      </c>
      <c r="G10" s="207">
        <f>+'5-PRECIOS SIN IVA'!F17+'5-PRECIOS SIN IVA'!F18</f>
        <v>179967925.43000001</v>
      </c>
      <c r="H10" s="207">
        <f>+'5-PRECIOS SIN IVA'!G17+'5-PRECIOS SIN IVA'!G18</f>
        <v>179967925.43000001</v>
      </c>
      <c r="I10" s="207">
        <f>+'5-PRECIOS SIN IVA'!H17+'5-PRECIOS SIN IVA'!H18</f>
        <v>179967925.43000001</v>
      </c>
      <c r="J10" s="207">
        <f>+'5-PRECIOS SIN IVA'!I17+'5-PRECIOS SIN IVA'!I18</f>
        <v>155761903</v>
      </c>
      <c r="K10" s="207">
        <f>+'5-PRECIOS SIN IVA'!J17+'5-PRECIOS SIN IVA'!J18</f>
        <v>155761903</v>
      </c>
      <c r="L10" s="204"/>
      <c r="M10" s="204"/>
      <c r="N10" s="204"/>
    </row>
    <row r="11" spans="1:14" ht="13.2" customHeight="1" x14ac:dyDescent="0.25">
      <c r="A11" s="208" t="s">
        <v>338</v>
      </c>
      <c r="B11" s="85" t="s">
        <v>315</v>
      </c>
      <c r="C11" s="209">
        <v>0</v>
      </c>
      <c r="D11" s="209">
        <v>0</v>
      </c>
      <c r="E11" s="209">
        <v>0</v>
      </c>
      <c r="F11" s="209">
        <v>0</v>
      </c>
      <c r="G11" s="209">
        <v>0</v>
      </c>
      <c r="H11" s="209">
        <v>0</v>
      </c>
      <c r="I11" s="209">
        <v>0</v>
      </c>
      <c r="J11" s="209">
        <v>0</v>
      </c>
      <c r="K11" s="209">
        <v>0</v>
      </c>
      <c r="L11" s="200"/>
      <c r="M11" s="200"/>
      <c r="N11" s="200"/>
    </row>
    <row r="12" spans="1:14" ht="13.2" customHeight="1" x14ac:dyDescent="0.25">
      <c r="A12" s="208" t="s">
        <v>339</v>
      </c>
      <c r="B12" s="85" t="s">
        <v>316</v>
      </c>
      <c r="C12" s="153">
        <f>+'8- COSTO COMBUST'!D4</f>
        <v>1548.8520000000001</v>
      </c>
      <c r="D12" s="153">
        <f>+C12</f>
        <v>1548.8520000000001</v>
      </c>
      <c r="E12" s="153">
        <f t="shared" ref="E12:K12" si="0">+D12</f>
        <v>1548.8520000000001</v>
      </c>
      <c r="F12" s="153">
        <f t="shared" si="0"/>
        <v>1548.8520000000001</v>
      </c>
      <c r="G12" s="153">
        <f t="shared" si="0"/>
        <v>1548.8520000000001</v>
      </c>
      <c r="H12" s="153">
        <f t="shared" si="0"/>
        <v>1548.8520000000001</v>
      </c>
      <c r="I12" s="153">
        <f t="shared" si="0"/>
        <v>1548.8520000000001</v>
      </c>
      <c r="J12" s="153">
        <f t="shared" si="0"/>
        <v>1548.8520000000001</v>
      </c>
      <c r="K12" s="153">
        <f t="shared" si="0"/>
        <v>1548.8520000000001</v>
      </c>
      <c r="L12" s="200"/>
      <c r="M12" s="200"/>
      <c r="N12" s="200"/>
    </row>
    <row r="13" spans="1:14" ht="13.2" customHeight="1" x14ac:dyDescent="0.25">
      <c r="A13" s="205" t="s">
        <v>317</v>
      </c>
      <c r="B13" s="85" t="s">
        <v>316</v>
      </c>
      <c r="C13" s="153">
        <f>+'8- COSTO COMBUST'!D18</f>
        <v>1216.6781537190082</v>
      </c>
      <c r="D13" s="153">
        <f>+C13</f>
        <v>1216.6781537190082</v>
      </c>
      <c r="E13" s="153">
        <f t="shared" ref="E13:K13" si="1">+D13</f>
        <v>1216.6781537190082</v>
      </c>
      <c r="F13" s="153">
        <f t="shared" si="1"/>
        <v>1216.6781537190082</v>
      </c>
      <c r="G13" s="153">
        <f t="shared" si="1"/>
        <v>1216.6781537190082</v>
      </c>
      <c r="H13" s="153">
        <f t="shared" si="1"/>
        <v>1216.6781537190082</v>
      </c>
      <c r="I13" s="153">
        <f t="shared" si="1"/>
        <v>1216.6781537190082</v>
      </c>
      <c r="J13" s="153">
        <f t="shared" si="1"/>
        <v>1216.6781537190082</v>
      </c>
      <c r="K13" s="153">
        <f t="shared" si="1"/>
        <v>1216.6781537190082</v>
      </c>
      <c r="L13" s="204"/>
      <c r="M13" s="204"/>
      <c r="N13" s="204"/>
    </row>
    <row r="14" spans="1:14" ht="13.2" customHeight="1" x14ac:dyDescent="0.25">
      <c r="A14" s="205" t="s">
        <v>318</v>
      </c>
      <c r="B14" s="85" t="s">
        <v>319</v>
      </c>
      <c r="C14" s="153">
        <f>SUM(C15:C17)</f>
        <v>1370000</v>
      </c>
      <c r="D14" s="153">
        <f t="shared" ref="D14:K14" si="2">SUM(D15:D17)</f>
        <v>1370000</v>
      </c>
      <c r="E14" s="153">
        <f t="shared" si="2"/>
        <v>1370000</v>
      </c>
      <c r="F14" s="153">
        <f t="shared" si="2"/>
        <v>1370000</v>
      </c>
      <c r="G14" s="153">
        <f t="shared" si="2"/>
        <v>1370000</v>
      </c>
      <c r="H14" s="153">
        <f t="shared" si="2"/>
        <v>1370000</v>
      </c>
      <c r="I14" s="153">
        <f t="shared" si="2"/>
        <v>1370000</v>
      </c>
      <c r="J14" s="153">
        <f t="shared" si="2"/>
        <v>1370000</v>
      </c>
      <c r="K14" s="153">
        <f t="shared" si="2"/>
        <v>1370000</v>
      </c>
      <c r="L14" s="204"/>
      <c r="M14" s="204"/>
      <c r="N14" s="204"/>
    </row>
    <row r="15" spans="1:14" ht="13.2" customHeight="1" x14ac:dyDescent="0.25">
      <c r="A15" s="205" t="s">
        <v>320</v>
      </c>
      <c r="B15" s="85" t="s">
        <v>319</v>
      </c>
      <c r="C15" s="153">
        <f>+'4- PERSONAL'!B51</f>
        <v>972700</v>
      </c>
      <c r="D15" s="153">
        <f>+C15</f>
        <v>972700</v>
      </c>
      <c r="E15" s="153">
        <f t="shared" ref="E15:K15" si="3">+D15</f>
        <v>972700</v>
      </c>
      <c r="F15" s="153">
        <f t="shared" si="3"/>
        <v>972700</v>
      </c>
      <c r="G15" s="153">
        <f t="shared" si="3"/>
        <v>972700</v>
      </c>
      <c r="H15" s="153">
        <f t="shared" si="3"/>
        <v>972700</v>
      </c>
      <c r="I15" s="153">
        <f t="shared" si="3"/>
        <v>972700</v>
      </c>
      <c r="J15" s="153">
        <f t="shared" si="3"/>
        <v>972700</v>
      </c>
      <c r="K15" s="153">
        <f t="shared" si="3"/>
        <v>972700</v>
      </c>
      <c r="L15" s="204"/>
      <c r="M15" s="204"/>
      <c r="N15" s="204"/>
    </row>
    <row r="16" spans="1:14" ht="13.2" customHeight="1" x14ac:dyDescent="0.25">
      <c r="A16" s="205" t="s">
        <v>321</v>
      </c>
      <c r="B16" s="85" t="s">
        <v>319</v>
      </c>
      <c r="C16" s="153">
        <f>+'4- PERSONAL'!B52</f>
        <v>274000</v>
      </c>
      <c r="D16" s="153">
        <f>+C16</f>
        <v>274000</v>
      </c>
      <c r="E16" s="153">
        <f t="shared" ref="E16:K16" si="4">+D16</f>
        <v>274000</v>
      </c>
      <c r="F16" s="153">
        <f t="shared" si="4"/>
        <v>274000</v>
      </c>
      <c r="G16" s="153">
        <f t="shared" si="4"/>
        <v>274000</v>
      </c>
      <c r="H16" s="153">
        <f t="shared" si="4"/>
        <v>274000</v>
      </c>
      <c r="I16" s="153">
        <f t="shared" si="4"/>
        <v>274000</v>
      </c>
      <c r="J16" s="153">
        <f t="shared" si="4"/>
        <v>274000</v>
      </c>
      <c r="K16" s="153">
        <f t="shared" si="4"/>
        <v>274000</v>
      </c>
      <c r="L16" s="204"/>
      <c r="M16" s="204"/>
      <c r="N16" s="204"/>
    </row>
    <row r="17" spans="1:14" ht="13.2" customHeight="1" x14ac:dyDescent="0.25">
      <c r="A17" s="205" t="s">
        <v>322</v>
      </c>
      <c r="B17" s="85" t="s">
        <v>319</v>
      </c>
      <c r="C17" s="153">
        <f>+'4- PERSONAL'!B53</f>
        <v>123300</v>
      </c>
      <c r="D17" s="153">
        <f>+C17</f>
        <v>123300</v>
      </c>
      <c r="E17" s="153">
        <f t="shared" ref="E17:K19" si="5">+D17</f>
        <v>123300</v>
      </c>
      <c r="F17" s="153">
        <f t="shared" si="5"/>
        <v>123300</v>
      </c>
      <c r="G17" s="153">
        <f t="shared" si="5"/>
        <v>123300</v>
      </c>
      <c r="H17" s="153">
        <f t="shared" si="5"/>
        <v>123300</v>
      </c>
      <c r="I17" s="153">
        <f t="shared" si="5"/>
        <v>123300</v>
      </c>
      <c r="J17" s="153">
        <f t="shared" si="5"/>
        <v>123300</v>
      </c>
      <c r="K17" s="153">
        <f t="shared" si="5"/>
        <v>123300</v>
      </c>
      <c r="L17" s="204"/>
      <c r="M17" s="204"/>
      <c r="N17" s="204"/>
    </row>
    <row r="18" spans="1:14" ht="13.2" customHeight="1" x14ac:dyDescent="0.25">
      <c r="A18" s="205" t="s">
        <v>323</v>
      </c>
      <c r="B18" s="85" t="s">
        <v>324</v>
      </c>
      <c r="C18" s="153">
        <f>+'4- PERSONAL'!B60</f>
        <v>13000</v>
      </c>
      <c r="D18" s="153">
        <f>+C18</f>
        <v>13000</v>
      </c>
      <c r="E18" s="153">
        <f t="shared" si="5"/>
        <v>13000</v>
      </c>
      <c r="F18" s="153">
        <f t="shared" si="5"/>
        <v>13000</v>
      </c>
      <c r="G18" s="153">
        <f t="shared" si="5"/>
        <v>13000</v>
      </c>
      <c r="H18" s="153">
        <f t="shared" ref="H18:H19" si="6">+G18</f>
        <v>13000</v>
      </c>
      <c r="I18" s="153">
        <f t="shared" ref="I18:I19" si="7">+H18</f>
        <v>13000</v>
      </c>
      <c r="J18" s="153">
        <f t="shared" ref="J18:J19" si="8">+I18</f>
        <v>13000</v>
      </c>
      <c r="K18" s="153">
        <f t="shared" ref="K18:K19" si="9">+J18</f>
        <v>13000</v>
      </c>
      <c r="L18" s="204"/>
      <c r="M18" s="204"/>
      <c r="N18" s="204"/>
    </row>
    <row r="19" spans="1:14" ht="13.2" customHeight="1" x14ac:dyDescent="0.25">
      <c r="A19" s="205" t="s">
        <v>325</v>
      </c>
      <c r="B19" s="85" t="s">
        <v>319</v>
      </c>
      <c r="C19" s="153">
        <f>+'4- PERSONAL'!B63</f>
        <v>0</v>
      </c>
      <c r="D19" s="153">
        <f>+C19</f>
        <v>0</v>
      </c>
      <c r="E19" s="153">
        <f t="shared" si="5"/>
        <v>0</v>
      </c>
      <c r="F19" s="153">
        <f t="shared" si="5"/>
        <v>0</v>
      </c>
      <c r="G19" s="153">
        <f t="shared" si="5"/>
        <v>0</v>
      </c>
      <c r="H19" s="153">
        <f t="shared" si="6"/>
        <v>0</v>
      </c>
      <c r="I19" s="153">
        <f t="shared" si="7"/>
        <v>0</v>
      </c>
      <c r="J19" s="153">
        <f t="shared" si="8"/>
        <v>0</v>
      </c>
      <c r="K19" s="153">
        <f t="shared" si="9"/>
        <v>0</v>
      </c>
      <c r="L19" s="204"/>
      <c r="M19" s="204"/>
      <c r="N19" s="204"/>
    </row>
    <row r="20" spans="1:14" ht="13.2" customHeight="1" x14ac:dyDescent="0.25">
      <c r="A20" s="717"/>
      <c r="B20" s="718"/>
      <c r="C20" s="719"/>
      <c r="D20" s="719"/>
      <c r="E20" s="719"/>
      <c r="F20" s="719"/>
      <c r="G20" s="719"/>
      <c r="H20" s="719"/>
      <c r="I20" s="719"/>
      <c r="J20" s="719"/>
      <c r="K20" s="719"/>
      <c r="L20" s="204"/>
      <c r="M20" s="204"/>
      <c r="N20" s="204"/>
    </row>
    <row r="21" spans="1:14" ht="13.2" customHeight="1" x14ac:dyDescent="0.25">
      <c r="K21" s="719"/>
      <c r="L21" s="204"/>
      <c r="M21" s="204"/>
      <c r="N21" s="204"/>
    </row>
    <row r="22" spans="1:14" ht="16.8" customHeight="1" x14ac:dyDescent="0.25">
      <c r="A22" s="421" t="s">
        <v>326</v>
      </c>
      <c r="C22" s="737" t="s">
        <v>505</v>
      </c>
      <c r="D22" s="737"/>
      <c r="E22" s="737"/>
      <c r="F22" s="737"/>
      <c r="G22" s="737"/>
      <c r="H22" s="737"/>
      <c r="I22" s="737"/>
      <c r="J22" s="737"/>
      <c r="K22" s="737"/>
      <c r="L22" s="421"/>
      <c r="M22" s="421"/>
      <c r="N22" s="421"/>
    </row>
    <row r="23" spans="1:14" ht="25.05" customHeight="1" x14ac:dyDescent="0.25">
      <c r="A23" s="716"/>
      <c r="B23" s="716"/>
      <c r="C23" s="715" t="s">
        <v>201</v>
      </c>
      <c r="D23" s="715" t="s">
        <v>202</v>
      </c>
      <c r="E23" s="715" t="s">
        <v>539</v>
      </c>
      <c r="F23" s="715" t="s">
        <v>208</v>
      </c>
      <c r="G23" s="715" t="s">
        <v>209</v>
      </c>
      <c r="H23" s="715" t="s">
        <v>210</v>
      </c>
      <c r="I23" s="715" t="s">
        <v>211</v>
      </c>
      <c r="J23" s="715" t="s">
        <v>212</v>
      </c>
      <c r="K23" s="715" t="s">
        <v>213</v>
      </c>
      <c r="L23" s="200"/>
      <c r="M23" s="200"/>
      <c r="N23" s="200"/>
    </row>
    <row r="24" spans="1:14" ht="15" customHeight="1" x14ac:dyDescent="0.25">
      <c r="A24" s="87" t="s">
        <v>135</v>
      </c>
      <c r="B24" s="425" t="s">
        <v>314</v>
      </c>
      <c r="C24" s="203">
        <f>+'1-COSTO X KM'!B51</f>
        <v>3875.7682169764967</v>
      </c>
      <c r="D24" s="203">
        <f>+'1-COSTO X KM'!C51</f>
        <v>3461.6720792249353</v>
      </c>
      <c r="E24" s="203">
        <f>+'1-COSTO X KM'!D51</f>
        <v>2788.2315652566035</v>
      </c>
      <c r="F24" s="203">
        <f>+'1-COSTO X KM'!E51</f>
        <v>2352.2022934780102</v>
      </c>
      <c r="G24" s="203">
        <f>+'1-COSTO X KM'!F51</f>
        <v>2377.0994625356234</v>
      </c>
      <c r="H24" s="203">
        <f>+'1-COSTO X KM'!G51</f>
        <v>3077.7655041667945</v>
      </c>
      <c r="I24" s="203">
        <f>+'1-COSTO X KM'!H51</f>
        <v>2475.0967112350449</v>
      </c>
      <c r="J24" s="203">
        <f>+'1-COSTO X KM'!I51</f>
        <v>3108.5862096124338</v>
      </c>
      <c r="K24" s="203">
        <f>+'1-COSTO X KM'!J51</f>
        <v>2945.6313800600437</v>
      </c>
      <c r="L24" s="204"/>
      <c r="M24" s="204"/>
      <c r="N24" s="204"/>
    </row>
    <row r="25" spans="1:14" ht="19.8" customHeight="1" x14ac:dyDescent="0.25">
      <c r="A25" s="422" t="s">
        <v>130</v>
      </c>
      <c r="B25" s="424" t="s">
        <v>327</v>
      </c>
      <c r="C25" s="423">
        <f>+'1-COSTO X KM'!B53</f>
        <v>1125.2151524923111</v>
      </c>
      <c r="D25" s="423">
        <f>+'1-COSTO X KM'!C53</f>
        <v>1272.8403765408084</v>
      </c>
      <c r="E25" s="423">
        <f>+'1-COSTO X KM'!D53</f>
        <v>1595.9176851181871</v>
      </c>
      <c r="F25" s="423">
        <f>+'1-COSTO X KM'!E53</f>
        <v>2713.4717727827615</v>
      </c>
      <c r="G25" s="423">
        <f>+'1-COSTO X KM'!F53</f>
        <v>2114.2652024649888</v>
      </c>
      <c r="H25" s="423">
        <f>+'1-COSTO X KM'!G53</f>
        <v>1105.8356091460275</v>
      </c>
      <c r="I25" s="423">
        <f>+'1-COSTO X KM'!H53</f>
        <v>1434.0363095822627</v>
      </c>
      <c r="J25" s="423">
        <f>+'1-COSTO X KM'!I53</f>
        <v>996.78299444474055</v>
      </c>
      <c r="K25" s="423">
        <f>+'1-COSTO X KM'!J53</f>
        <v>1178.5856731437391</v>
      </c>
      <c r="L25" s="204"/>
      <c r="M25" s="204"/>
      <c r="N25" s="204"/>
    </row>
    <row r="26" spans="1:14" x14ac:dyDescent="0.25">
      <c r="A26" s="84"/>
      <c r="B26" s="210"/>
      <c r="C26" s="472">
        <f t="shared" ref="C26:K26" si="10">+C25/C24</f>
        <v>0.29032054795322521</v>
      </c>
      <c r="D26" s="472">
        <f t="shared" si="10"/>
        <v>0.36769524883067378</v>
      </c>
      <c r="E26" s="472">
        <f t="shared" si="10"/>
        <v>0.57237630654658822</v>
      </c>
      <c r="F26" s="472">
        <f t="shared" si="10"/>
        <v>1.153587759142336</v>
      </c>
      <c r="G26" s="472">
        <f t="shared" si="10"/>
        <v>0.88943068465874264</v>
      </c>
      <c r="H26" s="472">
        <f t="shared" si="10"/>
        <v>0.35929820112965261</v>
      </c>
      <c r="I26" s="472">
        <f t="shared" si="10"/>
        <v>0.57938597028262984</v>
      </c>
      <c r="J26" s="472">
        <f t="shared" si="10"/>
        <v>0.32065476947767052</v>
      </c>
      <c r="K26" s="472">
        <f t="shared" si="10"/>
        <v>0.40011308988693445</v>
      </c>
      <c r="L26" s="84"/>
      <c r="M26" s="84"/>
      <c r="N26" s="84"/>
    </row>
    <row r="29" spans="1:14" x14ac:dyDescent="0.25">
      <c r="C29" s="472"/>
      <c r="D29" s="472"/>
      <c r="E29" s="472"/>
      <c r="F29" s="472"/>
      <c r="G29" s="472"/>
      <c r="H29" s="472"/>
      <c r="I29" s="472"/>
      <c r="J29" s="472"/>
      <c r="K29" s="472"/>
    </row>
  </sheetData>
  <mergeCells count="3">
    <mergeCell ref="F3:H3"/>
    <mergeCell ref="F9:H9"/>
    <mergeCell ref="C22:K22"/>
  </mergeCells>
  <pageMargins left="0.7" right="0.7" top="0.75" bottom="0.75" header="0.3" footer="0.3"/>
  <pageSetup paperSize="9" orientation="portrait" horizontalDpi="0" verticalDpi="0"/>
  <ignoredErrors>
    <ignoredError sqref="D14:K14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2E80-534B-314E-A52A-A7CA2043A844}">
  <dimension ref="A1:S22"/>
  <sheetViews>
    <sheetView zoomScale="120" zoomScaleNormal="120" workbookViewId="0">
      <selection activeCell="D18" sqref="D18"/>
    </sheetView>
  </sheetViews>
  <sheetFormatPr baseColWidth="10" defaultRowHeight="13.2" x14ac:dyDescent="0.25"/>
  <cols>
    <col min="1" max="1" width="40.21875" customWidth="1"/>
    <col min="2" max="2" width="11.109375" customWidth="1"/>
    <col min="3" max="3" width="14.77734375" style="20" customWidth="1"/>
    <col min="4" max="4" width="15.33203125" style="20" bestFit="1" customWidth="1"/>
    <col min="5" max="11" width="14.77734375" style="20" customWidth="1"/>
    <col min="12" max="12" width="16.44140625" style="20" customWidth="1"/>
    <col min="13" max="13" width="15.21875" style="20" customWidth="1"/>
    <col min="14" max="14" width="14.21875" customWidth="1"/>
    <col min="15" max="15" width="13.44140625" customWidth="1"/>
    <col min="16" max="16" width="12.5546875" bestFit="1" customWidth="1"/>
    <col min="17" max="17" width="39.5546875" customWidth="1"/>
    <col min="18" max="21" width="21.21875" customWidth="1"/>
  </cols>
  <sheetData>
    <row r="1" spans="1:15" ht="18.3" customHeight="1" x14ac:dyDescent="0.25">
      <c r="A1" s="299" t="s">
        <v>466</v>
      </c>
      <c r="B1" s="299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299"/>
    </row>
    <row r="2" spans="1:15" ht="18.3" customHeight="1" x14ac:dyDescent="0.25">
      <c r="A2" s="299"/>
      <c r="B2" s="299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538"/>
    </row>
    <row r="3" spans="1:15" ht="16.2" customHeight="1" x14ac:dyDescent="0.25">
      <c r="A3" s="197" t="s">
        <v>478</v>
      </c>
      <c r="B3" s="234" t="s">
        <v>479</v>
      </c>
      <c r="C3" s="197" t="s">
        <v>298</v>
      </c>
      <c r="D3" s="197" t="s">
        <v>299</v>
      </c>
      <c r="E3" s="197" t="s">
        <v>300</v>
      </c>
      <c r="F3" s="197" t="s">
        <v>445</v>
      </c>
      <c r="G3" s="197" t="s">
        <v>446</v>
      </c>
      <c r="H3" s="197" t="s">
        <v>447</v>
      </c>
      <c r="I3" s="197" t="s">
        <v>301</v>
      </c>
      <c r="J3" s="197" t="s">
        <v>302</v>
      </c>
      <c r="K3" s="197" t="s">
        <v>303</v>
      </c>
      <c r="L3" s="197" t="s">
        <v>480</v>
      </c>
      <c r="M3" s="19"/>
    </row>
    <row r="4" spans="1:15" ht="13.2" customHeight="1" x14ac:dyDescent="0.25">
      <c r="A4" s="249" t="s">
        <v>467</v>
      </c>
      <c r="B4" s="300" t="s">
        <v>222</v>
      </c>
      <c r="C4" s="420">
        <f>+'1-COSTO X KM'!B51</f>
        <v>3875.7682169764967</v>
      </c>
      <c r="D4" s="420">
        <f>+'1-COSTO X KM'!C51</f>
        <v>3461.6720792249353</v>
      </c>
      <c r="E4" s="420">
        <f>+'1-COSTO X KM'!D51</f>
        <v>2788.2315652566035</v>
      </c>
      <c r="F4" s="420">
        <f>+'1-COSTO X KM'!E51</f>
        <v>2352.2022934780102</v>
      </c>
      <c r="G4" s="420">
        <f>+'1-COSTO X KM'!F51</f>
        <v>2377.0994625356234</v>
      </c>
      <c r="H4" s="420">
        <f>+'1-COSTO X KM'!G51</f>
        <v>3077.7655041667945</v>
      </c>
      <c r="I4" s="420">
        <f>+'1-COSTO X KM'!H51</f>
        <v>2475.0967112350449</v>
      </c>
      <c r="J4" s="420">
        <f>+'1-COSTO X KM'!I51</f>
        <v>3108.5862096124338</v>
      </c>
      <c r="K4" s="420">
        <f>+'1-COSTO X KM'!J51</f>
        <v>2945.6313800600437</v>
      </c>
      <c r="L4" s="301">
        <f>+(C4*C10+D4*D10+E4*E10+F4*F10+G4*G10+H4*H10+I4*I10+J4*J10+K4*K10)/L10</f>
        <v>3415.0071159214231</v>
      </c>
      <c r="M4" s="19"/>
    </row>
    <row r="5" spans="1:15" ht="13.2" customHeight="1" x14ac:dyDescent="0.25">
      <c r="A5" s="239" t="s">
        <v>61</v>
      </c>
      <c r="B5" s="302" t="s">
        <v>468</v>
      </c>
      <c r="C5" s="124">
        <f>+'1-COSTO X KM'!B52</f>
        <v>3.444468560871945</v>
      </c>
      <c r="D5" s="124">
        <f>+'1-COSTO X KM'!C52</f>
        <v>2.719643517777699</v>
      </c>
      <c r="E5" s="124">
        <f>+'1-COSTO X KM'!D52</f>
        <v>1.7471023670309904</v>
      </c>
      <c r="F5" s="124">
        <f>+'1-COSTO X KM'!E52</f>
        <v>0.86686079327287169</v>
      </c>
      <c r="G5" s="124">
        <f>+'1-COSTO X KM'!F52</f>
        <v>1.1243147074284723</v>
      </c>
      <c r="H5" s="124">
        <f>+'1-COSTO X KM'!G52</f>
        <v>2.7832034695858399</v>
      </c>
      <c r="I5" s="124">
        <f>+'1-COSTO X KM'!H52</f>
        <v>1.7259651618975009</v>
      </c>
      <c r="J5" s="124">
        <f>+'1-COSTO X KM'!I52</f>
        <v>3.1186188236929908</v>
      </c>
      <c r="K5" s="124">
        <f>+'1-COSTO X KM'!J52</f>
        <v>2.4992933879833421</v>
      </c>
      <c r="L5" s="303">
        <f>+L7/L10</f>
        <v>2.8256417883227889</v>
      </c>
      <c r="M5" s="19"/>
    </row>
    <row r="6" spans="1:15" ht="13.2" customHeight="1" x14ac:dyDescent="0.25">
      <c r="A6" s="239" t="s">
        <v>130</v>
      </c>
      <c r="B6" s="302" t="s">
        <v>327</v>
      </c>
      <c r="C6" s="157">
        <f>+'1-COSTO X KM'!B53</f>
        <v>1125.2151524923111</v>
      </c>
      <c r="D6" s="157">
        <f>+'1-COSTO X KM'!C53</f>
        <v>1272.8403765408084</v>
      </c>
      <c r="E6" s="157">
        <f>+'1-COSTO X KM'!D53</f>
        <v>1595.9176851181871</v>
      </c>
      <c r="F6" s="157">
        <f>+'1-COSTO X KM'!E53</f>
        <v>2713.4717727827615</v>
      </c>
      <c r="G6" s="157">
        <f>+'1-COSTO X KM'!F53</f>
        <v>2114.2652024649888</v>
      </c>
      <c r="H6" s="157">
        <f>+'1-COSTO X KM'!G53</f>
        <v>1105.8356091460275</v>
      </c>
      <c r="I6" s="157">
        <f>+'1-COSTO X KM'!H53</f>
        <v>1434.0363095822627</v>
      </c>
      <c r="J6" s="157">
        <f>+'1-COSTO X KM'!I53</f>
        <v>996.78299444474055</v>
      </c>
      <c r="K6" s="157">
        <f>+'1-COSTO X KM'!J53</f>
        <v>1178.5856731437391</v>
      </c>
      <c r="L6" s="160">
        <f>+L4/L5</f>
        <v>1208.5775097304399</v>
      </c>
      <c r="M6" s="19"/>
    </row>
    <row r="7" spans="1:15" ht="13.2" customHeight="1" x14ac:dyDescent="0.25">
      <c r="A7" s="239" t="s">
        <v>469</v>
      </c>
      <c r="B7" s="302" t="s">
        <v>470</v>
      </c>
      <c r="C7" s="304">
        <f>+'7-CALCULO TARIFARIO'!B12</f>
        <v>24198537.5</v>
      </c>
      <c r="D7" s="304">
        <f>+'7-CALCULO TARIFARIO'!C12</f>
        <v>82448801.5</v>
      </c>
      <c r="E7" s="304">
        <f>+'7-CALCULO TARIFARIO'!D12</f>
        <v>5837111.666666667</v>
      </c>
      <c r="F7" s="304">
        <f>+'7-CALCULO TARIFARIO'!E12</f>
        <v>3802173.6666666665</v>
      </c>
      <c r="G7" s="304">
        <f>+'7-CALCULO TARIFARIO'!F12</f>
        <v>1430308.6666666667</v>
      </c>
      <c r="H7" s="304">
        <f>+'7-CALCULO TARIFARIO'!G12</f>
        <v>62944753.166666664</v>
      </c>
      <c r="I7" s="304">
        <f>+'7-CALCULO TARIFARIO'!H12</f>
        <v>12087162</v>
      </c>
      <c r="J7" s="304">
        <f>+'7-CALCULO TARIFARIO'!I12</f>
        <v>39785854.75</v>
      </c>
      <c r="K7" s="304">
        <f>+'7-CALCULO TARIFARIO'!J12</f>
        <v>13038448.5</v>
      </c>
      <c r="L7" s="305">
        <f>SUM(C7:K7)</f>
        <v>245573151.41666669</v>
      </c>
      <c r="M7" s="35"/>
    </row>
    <row r="8" spans="1:15" ht="13.2" customHeight="1" x14ac:dyDescent="0.25">
      <c r="A8" s="239" t="s">
        <v>471</v>
      </c>
      <c r="B8" s="302" t="s">
        <v>229</v>
      </c>
      <c r="C8" s="279">
        <f t="shared" ref="C8:K8" si="0">+C4*C10</f>
        <v>27228561063.153404</v>
      </c>
      <c r="D8" s="157">
        <f t="shared" si="0"/>
        <v>104944163546.59839</v>
      </c>
      <c r="E8" s="157">
        <f t="shared" si="0"/>
        <v>9315549738.8430309</v>
      </c>
      <c r="F8" s="157">
        <f t="shared" si="0"/>
        <v>10317090919.717934</v>
      </c>
      <c r="G8" s="157">
        <f t="shared" si="0"/>
        <v>3024051842.7174282</v>
      </c>
      <c r="H8" s="157">
        <f t="shared" si="0"/>
        <v>69606549460.607162</v>
      </c>
      <c r="I8" s="157">
        <f t="shared" si="0"/>
        <v>17333429187.802959</v>
      </c>
      <c r="J8" s="157">
        <f t="shared" si="0"/>
        <v>39657863434.248505</v>
      </c>
      <c r="K8" s="157">
        <f t="shared" si="0"/>
        <v>15366928602.122478</v>
      </c>
      <c r="L8" s="160">
        <f>SUM(D8:K8)</f>
        <v>269565626732.65787</v>
      </c>
      <c r="M8" s="36"/>
    </row>
    <row r="9" spans="1:15" ht="13.2" customHeight="1" x14ac:dyDescent="0.25">
      <c r="A9" s="239" t="s">
        <v>472</v>
      </c>
      <c r="B9" s="302" t="s">
        <v>229</v>
      </c>
      <c r="C9" s="279"/>
      <c r="D9" s="157">
        <f>+'8- COSTO COMBUST'!E$29*'11-BALANCE DE COMPENSACION'!D10</f>
        <v>280912565.29743588</v>
      </c>
      <c r="E9" s="157">
        <f>+'8- COSTO COMBUST'!F$29*'11-BALANCE DE COMPENSACION'!E10</f>
        <v>29101509.868782949</v>
      </c>
      <c r="F9" s="157">
        <f>+'8- COSTO COMBUST'!G$29*'11-BALANCE DE COMPENSACION'!F10</f>
        <v>29994379.165990308</v>
      </c>
      <c r="G9" s="157">
        <f>+'8- COSTO COMBUST'!H$29*'11-BALANCE DE COMPENSACION'!G10</f>
        <v>7668584.391043202</v>
      </c>
      <c r="H9" s="157">
        <f>+'8- COSTO COMBUST'!I$29*'11-BALANCE DE COMPENSACION'!H10</f>
        <v>172721826.80256841</v>
      </c>
      <c r="I9" s="157">
        <f>+'8- COSTO COMBUST'!J$29*'11-BALANCE DE COMPENSACION'!I10</f>
        <v>54634136.170879908</v>
      </c>
      <c r="J9" s="157">
        <f>+'8- COSTO COMBUST'!K$29*'11-BALANCE DE COMPENSACION'!J10</f>
        <v>94738086.733280495</v>
      </c>
      <c r="K9" s="157">
        <f>+'8- COSTO COMBUST'!L$29*'11-BALANCE DE COMPENSACION'!K10</f>
        <v>38740649.716916345</v>
      </c>
      <c r="L9" s="160">
        <f>SUM(C9:K9)</f>
        <v>708511738.14689755</v>
      </c>
      <c r="M9" s="35"/>
    </row>
    <row r="10" spans="1:15" ht="13.2" customHeight="1" x14ac:dyDescent="0.25">
      <c r="A10" s="239" t="s">
        <v>473</v>
      </c>
      <c r="B10" s="302" t="s">
        <v>474</v>
      </c>
      <c r="C10" s="304">
        <f>+'7-CALCULO TARIFARIO'!B18</f>
        <v>7025332.666666667</v>
      </c>
      <c r="D10" s="304">
        <f>+'7-CALCULO TARIFARIO'!C18</f>
        <v>30316032.583333332</v>
      </c>
      <c r="E10" s="304">
        <f>+'7-CALCULO TARIFARIO'!D18</f>
        <v>3341024.4166666665</v>
      </c>
      <c r="F10" s="304">
        <f>+'7-CALCULO TARIFARIO'!E18</f>
        <v>4386141</v>
      </c>
      <c r="G10" s="304">
        <f>+'7-CALCULO TARIFARIO'!F18</f>
        <v>1272160.4166666667</v>
      </c>
      <c r="H10" s="304">
        <f>+'7-CALCULO TARIFARIO'!G18</f>
        <v>22615936.583333332</v>
      </c>
      <c r="I10" s="304">
        <f>+'7-CALCULO TARIFARIO'!H18</f>
        <v>7003132.083333333</v>
      </c>
      <c r="J10" s="304">
        <f>+'7-CALCULO TARIFARIO'!I18</f>
        <v>12757524.083333334</v>
      </c>
      <c r="K10" s="304">
        <f>+'7-CALCULO TARIFARIO'!J18</f>
        <v>5216853.916666667</v>
      </c>
      <c r="L10" s="305">
        <f>SUM(D10:K10)</f>
        <v>86908805.083333328</v>
      </c>
      <c r="M10" s="35"/>
    </row>
    <row r="11" spans="1:15" ht="13.2" customHeight="1" x14ac:dyDescent="0.25">
      <c r="A11" s="239" t="s">
        <v>475</v>
      </c>
      <c r="B11" s="302" t="s">
        <v>327</v>
      </c>
      <c r="C11" s="157">
        <f t="shared" ref="C11:L11" si="1">+C12/C7</f>
        <v>411.93089685906807</v>
      </c>
      <c r="D11" s="157">
        <f t="shared" si="1"/>
        <v>360.64687845722449</v>
      </c>
      <c r="E11" s="157">
        <f t="shared" si="1"/>
        <v>442.62710288696042</v>
      </c>
      <c r="F11" s="157">
        <f t="shared" si="1"/>
        <v>1073.3453276538698</v>
      </c>
      <c r="G11" s="157">
        <f t="shared" si="1"/>
        <v>1647.1034208496415</v>
      </c>
      <c r="H11" s="157">
        <f t="shared" si="1"/>
        <v>372.16250467243299</v>
      </c>
      <c r="I11" s="157">
        <f t="shared" si="1"/>
        <v>492.60396707559386</v>
      </c>
      <c r="J11" s="157">
        <f t="shared" si="1"/>
        <v>347.09540520092611</v>
      </c>
      <c r="K11" s="157">
        <f t="shared" si="1"/>
        <v>368.34182824697024</v>
      </c>
      <c r="L11" s="160">
        <f t="shared" si="1"/>
        <v>393.83604166314763</v>
      </c>
      <c r="M11" s="36"/>
      <c r="N11" s="36"/>
      <c r="O11" s="36"/>
    </row>
    <row r="12" spans="1:15" ht="13.2" customHeight="1" x14ac:dyDescent="0.25">
      <c r="A12" s="360" t="s">
        <v>476</v>
      </c>
      <c r="B12" s="473" t="s">
        <v>327</v>
      </c>
      <c r="C12" s="436">
        <f>+'7-CALCULO TARIFARIO'!B24/1.105</f>
        <v>9968125255.0527916</v>
      </c>
      <c r="D12" s="474">
        <f>+'7-CALCULO TARIFARIO'!C24/1.105</f>
        <v>29734902893.514328</v>
      </c>
      <c r="E12" s="474">
        <f>+'7-CALCULO TARIFARIO'!D24/1.105</f>
        <v>2583663826.2443438</v>
      </c>
      <c r="F12" s="474">
        <f>+'7-CALCULO TARIFARIO'!E24/1.105</f>
        <v>4081045340.045249</v>
      </c>
      <c r="G12" s="474">
        <f>+'7-CALCULO TARIFARIO'!F24/1.105</f>
        <v>2355866297.7375565</v>
      </c>
      <c r="H12" s="474">
        <f>+'7-CALCULO TARIFARIO'!G24/1.105</f>
        <v>23425676994.494724</v>
      </c>
      <c r="I12" s="474">
        <f>+'7-CALCULO TARIFARIO'!H24/1.105</f>
        <v>5954183951.8853693</v>
      </c>
      <c r="J12" s="474">
        <f>+'7-CALCULO TARIFARIO'!I24/1.105</f>
        <v>13809487375.71644</v>
      </c>
      <c r="K12" s="474">
        <f>+'7-CALCULO TARIFARIO'!J24/1.105</f>
        <v>4802605957.9939671</v>
      </c>
      <c r="L12" s="475">
        <f>SUM(C12:K12)</f>
        <v>96715557892.684799</v>
      </c>
      <c r="M12" s="579"/>
      <c r="N12" s="36"/>
      <c r="O12" s="36"/>
    </row>
    <row r="13" spans="1:15" ht="13.2" customHeight="1" x14ac:dyDescent="0.25">
      <c r="A13" s="479" t="s">
        <v>477</v>
      </c>
      <c r="B13" s="476" t="s">
        <v>229</v>
      </c>
      <c r="C13" s="477">
        <f t="shared" ref="C13:K13" si="2">+(C4*C10)-C9-C12</f>
        <v>17260435808.100613</v>
      </c>
      <c r="D13" s="477">
        <f t="shared" si="2"/>
        <v>74928348087.786621</v>
      </c>
      <c r="E13" s="477">
        <f t="shared" si="2"/>
        <v>6702784402.7299051</v>
      </c>
      <c r="F13" s="477">
        <f t="shared" si="2"/>
        <v>6206051200.5066938</v>
      </c>
      <c r="G13" s="477">
        <f t="shared" si="2"/>
        <v>660516960.58882856</v>
      </c>
      <c r="H13" s="477">
        <f t="shared" si="2"/>
        <v>46008150639.309875</v>
      </c>
      <c r="I13" s="477">
        <f t="shared" si="2"/>
        <v>11324611099.746712</v>
      </c>
      <c r="J13" s="477">
        <f t="shared" si="2"/>
        <v>25753637971.798782</v>
      </c>
      <c r="K13" s="477">
        <f t="shared" si="2"/>
        <v>10525581994.411594</v>
      </c>
      <c r="L13" s="477">
        <f>SUM(D13:K13)</f>
        <v>182109682356.879</v>
      </c>
      <c r="M13" s="579"/>
      <c r="N13" s="35"/>
      <c r="O13" s="36"/>
    </row>
    <row r="14" spans="1:15" ht="13.2" customHeight="1" x14ac:dyDescent="0.25">
      <c r="A14" s="237" t="s">
        <v>491</v>
      </c>
      <c r="B14" s="427" t="s">
        <v>229</v>
      </c>
      <c r="C14" s="428">
        <v>0</v>
      </c>
      <c r="D14" s="428">
        <v>0</v>
      </c>
      <c r="E14" s="428">
        <v>0</v>
      </c>
      <c r="F14" s="428">
        <v>0</v>
      </c>
      <c r="G14" s="428">
        <v>0</v>
      </c>
      <c r="H14" s="429">
        <v>215991595</v>
      </c>
      <c r="I14" s="429">
        <v>6409112</v>
      </c>
      <c r="J14" s="428">
        <v>0</v>
      </c>
      <c r="K14" s="429">
        <v>207673738</v>
      </c>
      <c r="L14" s="429">
        <f>SUM(C14:K14)</f>
        <v>430074445</v>
      </c>
      <c r="M14" s="35"/>
      <c r="N14" s="36"/>
      <c r="O14" s="36"/>
    </row>
    <row r="15" spans="1:15" x14ac:dyDescent="0.25">
      <c r="A15" s="238" t="s">
        <v>537</v>
      </c>
      <c r="B15" s="306" t="s">
        <v>229</v>
      </c>
      <c r="C15" s="307"/>
      <c r="D15" s="307">
        <v>1862871874</v>
      </c>
      <c r="E15" s="307">
        <v>74118961</v>
      </c>
      <c r="F15" s="307">
        <v>-63760106</v>
      </c>
      <c r="G15" s="307">
        <v>-329421745</v>
      </c>
      <c r="H15" s="308">
        <v>-917768749</v>
      </c>
      <c r="I15" s="308">
        <v>-405707576</v>
      </c>
      <c r="J15" s="307">
        <v>-554978434</v>
      </c>
      <c r="K15" s="308">
        <v>21418113</v>
      </c>
      <c r="L15" s="308">
        <f>SUM(C15:K15)</f>
        <v>-313227662</v>
      </c>
      <c r="N15" s="36"/>
      <c r="O15" s="36"/>
    </row>
    <row r="16" spans="1:15" ht="12.6" customHeight="1" x14ac:dyDescent="0.25">
      <c r="A16" s="238" t="s">
        <v>538</v>
      </c>
      <c r="B16" s="306"/>
      <c r="C16" s="307"/>
      <c r="D16" s="307">
        <v>1177281678</v>
      </c>
      <c r="E16" s="307">
        <v>99454817</v>
      </c>
      <c r="F16" s="307">
        <v>98752075</v>
      </c>
      <c r="G16" s="307">
        <v>33864017</v>
      </c>
      <c r="H16" s="308">
        <v>808354096</v>
      </c>
      <c r="I16" s="308">
        <v>183586341</v>
      </c>
      <c r="J16" s="307">
        <v>475915250</v>
      </c>
      <c r="K16" s="308">
        <v>186033635</v>
      </c>
      <c r="L16" s="308">
        <f>SUM(D16:K16)</f>
        <v>3063241909</v>
      </c>
      <c r="M16" s="585"/>
      <c r="N16" s="36"/>
      <c r="O16" s="36"/>
    </row>
    <row r="17" spans="1:19" ht="19.2" customHeight="1" x14ac:dyDescent="0.25">
      <c r="A17" s="471" t="s">
        <v>492</v>
      </c>
      <c r="B17" s="363" t="s">
        <v>229</v>
      </c>
      <c r="C17" s="364">
        <f>+C13+C14+C15+C16</f>
        <v>17260435808.100613</v>
      </c>
      <c r="D17" s="364">
        <f>+D13+D14+D15+D16</f>
        <v>77968501639.786621</v>
      </c>
      <c r="E17" s="364">
        <f t="shared" ref="E17:L17" si="3">+E13+E14+E15+E16</f>
        <v>6876358180.7299051</v>
      </c>
      <c r="F17" s="364">
        <f t="shared" si="3"/>
        <v>6241043169.5066938</v>
      </c>
      <c r="G17" s="364">
        <f t="shared" si="3"/>
        <v>364959232.58882856</v>
      </c>
      <c r="H17" s="364">
        <f t="shared" si="3"/>
        <v>46114727581.309875</v>
      </c>
      <c r="I17" s="364">
        <f t="shared" si="3"/>
        <v>11108898976.746712</v>
      </c>
      <c r="J17" s="364">
        <f t="shared" si="3"/>
        <v>25674574787.798782</v>
      </c>
      <c r="K17" s="364">
        <f t="shared" si="3"/>
        <v>10940707480.411594</v>
      </c>
      <c r="L17" s="364">
        <f t="shared" si="3"/>
        <v>185289771048.879</v>
      </c>
      <c r="M17" s="414"/>
      <c r="N17" s="20"/>
      <c r="O17" s="20"/>
      <c r="P17" s="20"/>
      <c r="Q17" s="20"/>
      <c r="S17" s="537"/>
    </row>
    <row r="18" spans="1:19" x14ac:dyDescent="0.25">
      <c r="D18" s="414"/>
      <c r="E18" s="414"/>
      <c r="F18" s="414"/>
      <c r="G18" s="414"/>
      <c r="H18" s="414"/>
      <c r="I18" s="414"/>
      <c r="J18" s="414"/>
      <c r="K18" s="414"/>
      <c r="L18" s="414"/>
    </row>
    <row r="19" spans="1:19" x14ac:dyDescent="0.25">
      <c r="A19" s="20"/>
      <c r="B19" s="20"/>
    </row>
    <row r="20" spans="1:19" x14ac:dyDescent="0.25">
      <c r="A20" s="20"/>
      <c r="B20" s="20"/>
    </row>
    <row r="21" spans="1:19" x14ac:dyDescent="0.25">
      <c r="A21" s="20"/>
      <c r="B21" s="20"/>
    </row>
    <row r="22" spans="1:19" x14ac:dyDescent="0.25">
      <c r="A22" s="20"/>
      <c r="B22" s="20"/>
    </row>
  </sheetData>
  <pageMargins left="0.7" right="0.7" top="0.75" bottom="0.75" header="0.3" footer="0.3"/>
  <pageSetup paperSize="9" orientation="portrait" r:id="rId1"/>
  <ignoredErrors>
    <ignoredError sqref="L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1-COSTO X KM</vt:lpstr>
      <vt:lpstr>2- EMP. REP</vt:lpstr>
      <vt:lpstr>3- REND Y CONS</vt:lpstr>
      <vt:lpstr>4- PERSONAL</vt:lpstr>
      <vt:lpstr>5-PRECIOS SIN IVA</vt:lpstr>
      <vt:lpstr>5.A SALDO A FAVOR IVA</vt:lpstr>
      <vt:lpstr>6- IMPUESTOS</vt:lpstr>
      <vt:lpstr>7-CALCULO TARIFARIO</vt:lpstr>
      <vt:lpstr>8- COSTO COMBUST</vt:lpstr>
      <vt:lpstr>9- COSTO POR VEHICULO</vt:lpstr>
      <vt:lpstr>10-RESUMEN DE COSTOS</vt:lpstr>
      <vt:lpstr>11-BALANCE DE COMPENSACION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- 12-2021-costos.docx</dc:title>
  <dc:creator>claudio halecka</dc:creator>
  <cp:lastModifiedBy>Usuario</cp:lastModifiedBy>
  <dcterms:created xsi:type="dcterms:W3CDTF">2022-01-19T16:03:46Z</dcterms:created>
  <dcterms:modified xsi:type="dcterms:W3CDTF">2026-03-17T18:34:46Z</dcterms:modified>
</cp:coreProperties>
</file>